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BIKA\Downloads\"/>
    </mc:Choice>
  </mc:AlternateContent>
  <xr:revisionPtr revIDLastSave="0" documentId="13_ncr:1_{99EB17D6-6E90-4455-A07A-700657238E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blem Statement" sheetId="1" r:id="rId1"/>
    <sheet name="Logical" sheetId="2" r:id="rId2"/>
  </sheets>
  <definedNames>
    <definedName name="_xlnm._FilterDatabase" localSheetId="1" hidden="1">Logical!$A$3:$V$149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<sst xmlns="http://schemas.openxmlformats.org/spreadsheetml/2006/main" count="1805" uniqueCount="721">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</sst>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64" fontId="8" fillId="6" borderId="7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C4" sqref="C4:C9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3" t="s">
        <v>0</v>
      </c>
      <c r="B1" s="24"/>
      <c r="C1" s="24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20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I28" workbookViewId="0">
      <selection activeCell="P40" sqref="P40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7" width="14.6640625" customWidth="1"/>
    <col min="18" max="18" width="22.109375" bestFit="1" customWidth="1"/>
    <col min="19" max="19" width="14.6640625" customWidth="1"/>
    <col min="20" max="21" width="25.5546875" bestFit="1" customWidth="1"/>
    <col min="22" max="22" width="26.5546875" bestFit="1" customWidth="1"/>
    <col min="23" max="33" width="8.6640625" customWidth="1"/>
  </cols>
  <sheetData>
    <row r="1" spans="1:33" ht="36" customHeight="1" x14ac:dyDescent="0.3">
      <c r="A1" s="25" t="s">
        <v>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>
        <f>IF(N4="Very Poor","Terminate","Retain")</f>
        <v>Terminate</v>
      </c>
      <c r="R4" s="18" t="str">
        <f>IF(N4="Very Good","Bonus of " &amp; TEXT(P4*0.05,"$000,0") &amp; " earned","No bonus")</f>
        <v>No bonus</v>
      </c>
      <c r="S4" s="15" t="str">
        <f>IF(P4&lt;40000,"Low",IF(AND(P4&gt;=40000,P4&lt;80000),"Mid","High"))</f>
        <v>High</v>
      </c>
      <c r="T4" s="15" t="str">
        <f>IF(AND(L4="HR",I4="Mumbai"),"Work-From-Home flexibility","No WFH")</f>
        <v>No WFH</v>
      </c>
      <c r="U4" s="15" t="str">
        <f>IF(OR(L4="HR",L4="Finance"),"Work-From-Home flexibility","No WFH")</f>
        <v>Work-From-Home flexibility</v>
      </c>
      <c r="V4" s="19" t="str">
        <f>IF(N4="Very Good","Increment of "&amp;TEXT(P4*15%,"$000,0")&amp;" earned",IF(N4="Good","Increment of "&amp;TEXT(P4*12%,"$000,0")&amp;" earned",IF(N4="Average","Increment of "&amp;TEXT(P4*10%,"$000,0")&amp;" earned", "Not applicable for increment")))</f>
        <v>Not applicable for increment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f t="shared" ref="Q5:Q68" si="0">IF(N5="Very Poor","Terminate","Retain")</f>
        <v>Retain</v>
      </c>
      <c r="R5" s="18" t="str">
        <f t="shared" ref="R5:R68" si="1">IF(N5="Very Good","Bonus of " &amp; TEXT(P5*0.05,"$000,0") &amp; " earned","No bonus")</f>
        <v>No bonus</v>
      </c>
      <c r="S5" s="15" t="str">
        <f t="shared" ref="S5:S68" si="2">IF(P5&lt;40000,"Low",IF(AND(P5&gt;=40000,P5&lt;80000),"Mid","High"))</f>
        <v>Low</v>
      </c>
      <c r="T5" s="15" t="str">
        <f t="shared" ref="T5:T68" si="3">IF(AND(L5="HR",I5="Mumbai"),"Work-From-Home flexibility","No WFH")</f>
        <v>No WFH</v>
      </c>
      <c r="U5" s="15" t="str">
        <f t="shared" ref="U5:U68" si="4">IF(OR(L5="HR",L5="Finance"),"Work-From-Home flexibility","No WFH")</f>
        <v>Work-From-Home flexibility</v>
      </c>
      <c r="V5" s="19" t="str">
        <f t="shared" ref="V5:V68" si="5">IF(N5="Very Good","Increment of "&amp;TEXT(P5*15%,"$000,0")&amp;" earned",IF(N5="Good","Increment of "&amp;TEXT(P5*12%,"$000,0")&amp;" earned",IF(N5="Average","Increment of "&amp;TEXT(P5*10%,"$000,0")&amp;" earned", "Not applicable for increment")))</f>
        <v>Increment of $4,428 earned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f t="shared" si="0"/>
        <v>Terminate</v>
      </c>
      <c r="R6" s="18" t="str">
        <f t="shared" si="1"/>
        <v>No bonus</v>
      </c>
      <c r="S6" s="15" t="str">
        <f t="shared" si="2"/>
        <v>High</v>
      </c>
      <c r="T6" s="15" t="str">
        <f t="shared" si="3"/>
        <v>Work-From-Home flexibility</v>
      </c>
      <c r="U6" s="15" t="str">
        <f t="shared" si="4"/>
        <v>Work-From-Home flexibility</v>
      </c>
      <c r="V6" s="19" t="str">
        <f t="shared" si="5"/>
        <v>Not applicable for increment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f t="shared" si="0"/>
        <v>Retain</v>
      </c>
      <c r="R7" s="18" t="str">
        <f t="shared" si="1"/>
        <v>No bonus</v>
      </c>
      <c r="S7" s="15" t="str">
        <f t="shared" si="2"/>
        <v>High</v>
      </c>
      <c r="T7" s="15" t="str">
        <f t="shared" si="3"/>
        <v>No WFH</v>
      </c>
      <c r="U7" s="15" t="str">
        <f t="shared" si="4"/>
        <v>Work-From-Home flexibility</v>
      </c>
      <c r="V7" s="19" t="str">
        <f t="shared" si="5"/>
        <v>Increment of $10,996 earned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21" t="s">
        <v>84</v>
      </c>
      <c r="O8" s="15" t="s">
        <v>58</v>
      </c>
      <c r="P8" s="17">
        <v>25710.120000000003</v>
      </c>
      <c r="Q8" s="15" t="str">
        <f t="shared" si="0"/>
        <v>Retain</v>
      </c>
      <c r="R8" s="18" t="str">
        <f t="shared" si="1"/>
        <v>No bonus</v>
      </c>
      <c r="S8" s="15" t="str">
        <f t="shared" si="2"/>
        <v>Low</v>
      </c>
      <c r="T8" s="15" t="str">
        <f t="shared" si="3"/>
        <v>No WFH</v>
      </c>
      <c r="U8" s="15" t="str">
        <f t="shared" si="4"/>
        <v>No WFH</v>
      </c>
      <c r="V8" s="19" t="str">
        <f t="shared" si="5"/>
        <v>Not applicable for increment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f t="shared" si="0"/>
        <v>Retain</v>
      </c>
      <c r="R9" s="18" t="str">
        <f t="shared" si="1"/>
        <v>No bonus</v>
      </c>
      <c r="S9" s="15" t="str">
        <f t="shared" si="2"/>
        <v>High</v>
      </c>
      <c r="T9" s="15" t="str">
        <f t="shared" si="3"/>
        <v>No WFH</v>
      </c>
      <c r="U9" s="15" t="str">
        <f t="shared" si="4"/>
        <v>Work-From-Home flexibility</v>
      </c>
      <c r="V9" s="19" t="str">
        <f t="shared" si="5"/>
        <v>Increment of $11,636 earned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f t="shared" si="0"/>
        <v>Terminate</v>
      </c>
      <c r="R10" s="18" t="str">
        <f t="shared" si="1"/>
        <v>No bonus</v>
      </c>
      <c r="S10" s="15" t="str">
        <f t="shared" si="2"/>
        <v>High</v>
      </c>
      <c r="T10" s="15" t="str">
        <f t="shared" si="3"/>
        <v>No WFH</v>
      </c>
      <c r="U10" s="15" t="str">
        <f t="shared" si="4"/>
        <v>No WFH</v>
      </c>
      <c r="V10" s="19" t="str">
        <f t="shared" si="5"/>
        <v>Not applicable for increment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f t="shared" si="0"/>
        <v>Retain</v>
      </c>
      <c r="R11" s="18" t="str">
        <f t="shared" si="1"/>
        <v>No bonus</v>
      </c>
      <c r="S11" s="15" t="str">
        <f t="shared" si="2"/>
        <v>High</v>
      </c>
      <c r="T11" s="15" t="str">
        <f t="shared" si="3"/>
        <v>No WFH</v>
      </c>
      <c r="U11" s="15" t="str">
        <f t="shared" si="4"/>
        <v>No WFH</v>
      </c>
      <c r="V11" s="19" t="str">
        <f t="shared" si="5"/>
        <v>Increment of $11,706 earned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f t="shared" si="0"/>
        <v>Retain</v>
      </c>
      <c r="R12" s="18" t="str">
        <f t="shared" si="1"/>
        <v>No bonus</v>
      </c>
      <c r="S12" s="15" t="str">
        <f t="shared" si="2"/>
        <v>Mid</v>
      </c>
      <c r="T12" s="15" t="str">
        <f t="shared" si="3"/>
        <v>No WFH</v>
      </c>
      <c r="U12" s="15" t="str">
        <f t="shared" si="4"/>
        <v>No WFH</v>
      </c>
      <c r="V12" s="19" t="str">
        <f t="shared" si="5"/>
        <v>Not applicable for increment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f t="shared" si="0"/>
        <v>Terminate</v>
      </c>
      <c r="R13" s="18" t="str">
        <f t="shared" si="1"/>
        <v>No bonus</v>
      </c>
      <c r="S13" s="15" t="str">
        <f t="shared" si="2"/>
        <v>High</v>
      </c>
      <c r="T13" s="15" t="str">
        <f t="shared" si="3"/>
        <v>Work-From-Home flexibility</v>
      </c>
      <c r="U13" s="15" t="str">
        <f t="shared" si="4"/>
        <v>Work-From-Home flexibility</v>
      </c>
      <c r="V13" s="19" t="str">
        <f t="shared" si="5"/>
        <v>Not applicable for increment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f t="shared" si="0"/>
        <v>Retain</v>
      </c>
      <c r="R14" s="18" t="str">
        <f t="shared" si="1"/>
        <v>No bonus</v>
      </c>
      <c r="S14" s="15" t="str">
        <f t="shared" si="2"/>
        <v>High</v>
      </c>
      <c r="T14" s="15" t="str">
        <f t="shared" si="3"/>
        <v>No WFH</v>
      </c>
      <c r="U14" s="15" t="str">
        <f t="shared" si="4"/>
        <v>No WFH</v>
      </c>
      <c r="V14" s="19" t="str">
        <f t="shared" si="5"/>
        <v>Increment of $14,734 earned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f t="shared" si="0"/>
        <v>Terminate</v>
      </c>
      <c r="R15" s="18" t="str">
        <f t="shared" si="1"/>
        <v>No bonus</v>
      </c>
      <c r="S15" s="15" t="str">
        <f t="shared" si="2"/>
        <v>High</v>
      </c>
      <c r="T15" s="15" t="str">
        <f t="shared" si="3"/>
        <v>No WFH</v>
      </c>
      <c r="U15" s="15" t="str">
        <f t="shared" si="4"/>
        <v>No WFH</v>
      </c>
      <c r="V15" s="19" t="str">
        <f t="shared" si="5"/>
        <v>Not applicable for increment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f t="shared" si="0"/>
        <v>Terminate</v>
      </c>
      <c r="R16" s="18" t="str">
        <f t="shared" si="1"/>
        <v>No bonus</v>
      </c>
      <c r="S16" s="15" t="str">
        <f t="shared" si="2"/>
        <v>High</v>
      </c>
      <c r="T16" s="15" t="str">
        <f t="shared" si="3"/>
        <v>No WFH</v>
      </c>
      <c r="U16" s="15" t="str">
        <f t="shared" si="4"/>
        <v>No WFH</v>
      </c>
      <c r="V16" s="19" t="str">
        <f t="shared" si="5"/>
        <v>Not applicable for increment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f t="shared" si="0"/>
        <v>Terminate</v>
      </c>
      <c r="R17" s="18" t="str">
        <f t="shared" si="1"/>
        <v>No bonus</v>
      </c>
      <c r="S17" s="15" t="str">
        <f t="shared" si="2"/>
        <v>High</v>
      </c>
      <c r="T17" s="15" t="str">
        <f t="shared" si="3"/>
        <v>No WFH</v>
      </c>
      <c r="U17" s="15" t="str">
        <f t="shared" si="4"/>
        <v>No WFH</v>
      </c>
      <c r="V17" s="19" t="str">
        <f t="shared" si="5"/>
        <v>Not applicable for increment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f t="shared" si="0"/>
        <v>Retain</v>
      </c>
      <c r="R18" s="18" t="str">
        <f t="shared" si="1"/>
        <v>No bonus</v>
      </c>
      <c r="S18" s="15" t="str">
        <f t="shared" si="2"/>
        <v>High</v>
      </c>
      <c r="T18" s="15" t="str">
        <f t="shared" si="3"/>
        <v>No WFH</v>
      </c>
      <c r="U18" s="15" t="str">
        <f t="shared" si="4"/>
        <v>No WFH</v>
      </c>
      <c r="V18" s="19" t="str">
        <f t="shared" si="5"/>
        <v>Increment of $12,674 earned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f t="shared" si="0"/>
        <v>Retain</v>
      </c>
      <c r="R19" s="18" t="str">
        <f t="shared" si="1"/>
        <v>Bonus of $5,782 earned</v>
      </c>
      <c r="S19" s="15" t="str">
        <f t="shared" si="2"/>
        <v>High</v>
      </c>
      <c r="T19" s="15" t="str">
        <f t="shared" si="3"/>
        <v>No WFH</v>
      </c>
      <c r="U19" s="15" t="str">
        <f t="shared" si="4"/>
        <v>Work-From-Home flexibility</v>
      </c>
      <c r="V19" s="19" t="str">
        <f t="shared" si="5"/>
        <v>Increment of $17,346 earned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f t="shared" si="0"/>
        <v>Terminate</v>
      </c>
      <c r="R20" s="18" t="str">
        <f t="shared" si="1"/>
        <v>No bonus</v>
      </c>
      <c r="S20" s="15" t="str">
        <f t="shared" si="2"/>
        <v>Low</v>
      </c>
      <c r="T20" s="15" t="str">
        <f t="shared" si="3"/>
        <v>No WFH</v>
      </c>
      <c r="U20" s="15" t="str">
        <f t="shared" si="4"/>
        <v>No WFH</v>
      </c>
      <c r="V20" s="19" t="str">
        <f t="shared" si="5"/>
        <v>Not applicable for increment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f t="shared" si="0"/>
        <v>Retain</v>
      </c>
      <c r="R21" s="18" t="str">
        <f t="shared" si="1"/>
        <v>No bonus</v>
      </c>
      <c r="S21" s="15" t="str">
        <f t="shared" si="2"/>
        <v>High</v>
      </c>
      <c r="T21" s="15" t="str">
        <f t="shared" si="3"/>
        <v>No WFH</v>
      </c>
      <c r="U21" s="15" t="str">
        <f t="shared" si="4"/>
        <v>Work-From-Home flexibility</v>
      </c>
      <c r="V21" s="19" t="str">
        <f t="shared" si="5"/>
        <v>Increment of $17,046 earned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f t="shared" si="0"/>
        <v>Retain</v>
      </c>
      <c r="R22" s="18" t="str">
        <f t="shared" si="1"/>
        <v>No bonus</v>
      </c>
      <c r="S22" s="15" t="str">
        <f t="shared" si="2"/>
        <v>High</v>
      </c>
      <c r="T22" s="15" t="str">
        <f t="shared" si="3"/>
        <v>No WFH</v>
      </c>
      <c r="U22" s="15" t="str">
        <f t="shared" si="4"/>
        <v>No WFH</v>
      </c>
      <c r="V22" s="19" t="str">
        <f t="shared" si="5"/>
        <v>Not applicable for increment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f t="shared" si="0"/>
        <v>Retain</v>
      </c>
      <c r="R23" s="18" t="str">
        <f t="shared" si="1"/>
        <v>No bonus</v>
      </c>
      <c r="S23" s="15" t="str">
        <f t="shared" si="2"/>
        <v>High</v>
      </c>
      <c r="T23" s="15" t="str">
        <f t="shared" si="3"/>
        <v>No WFH</v>
      </c>
      <c r="U23" s="15" t="str">
        <f t="shared" si="4"/>
        <v>No WFH</v>
      </c>
      <c r="V23" s="19" t="str">
        <f t="shared" si="5"/>
        <v>Not applicable for increment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f t="shared" si="0"/>
        <v>Terminate</v>
      </c>
      <c r="R24" s="18" t="str">
        <f t="shared" si="1"/>
        <v>No bonus</v>
      </c>
      <c r="S24" s="15" t="str">
        <f t="shared" si="2"/>
        <v>High</v>
      </c>
      <c r="T24" s="15" t="str">
        <f t="shared" si="3"/>
        <v>No WFH</v>
      </c>
      <c r="U24" s="15" t="str">
        <f t="shared" si="4"/>
        <v>No WFH</v>
      </c>
      <c r="V24" s="19" t="str">
        <f t="shared" si="5"/>
        <v>Not applicable for increment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f t="shared" si="0"/>
        <v>Retain</v>
      </c>
      <c r="R25" s="18" t="str">
        <f t="shared" si="1"/>
        <v>No bonus</v>
      </c>
      <c r="S25" s="15" t="str">
        <f t="shared" si="2"/>
        <v>Low</v>
      </c>
      <c r="T25" s="15" t="str">
        <f t="shared" si="3"/>
        <v>No WFH</v>
      </c>
      <c r="U25" s="15" t="str">
        <f t="shared" si="4"/>
        <v>No WFH</v>
      </c>
      <c r="V25" s="19" t="str">
        <f t="shared" si="5"/>
        <v>Increment of $2,443 earned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f t="shared" si="0"/>
        <v>Retain</v>
      </c>
      <c r="R26" s="18" t="str">
        <f t="shared" si="1"/>
        <v>No bonus</v>
      </c>
      <c r="S26" s="15" t="str">
        <f t="shared" si="2"/>
        <v>Low</v>
      </c>
      <c r="T26" s="15" t="str">
        <f t="shared" si="3"/>
        <v>No WFH</v>
      </c>
      <c r="U26" s="15" t="str">
        <f t="shared" si="4"/>
        <v>No WFH</v>
      </c>
      <c r="V26" s="19" t="str">
        <f t="shared" si="5"/>
        <v>Not applicable for increment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f t="shared" si="0"/>
        <v>Retain</v>
      </c>
      <c r="R27" s="18" t="str">
        <f t="shared" si="1"/>
        <v>No bonus</v>
      </c>
      <c r="S27" s="15" t="str">
        <f t="shared" si="2"/>
        <v>Low</v>
      </c>
      <c r="T27" s="15" t="str">
        <f t="shared" si="3"/>
        <v>No WFH</v>
      </c>
      <c r="U27" s="15" t="str">
        <f t="shared" si="4"/>
        <v>No WFH</v>
      </c>
      <c r="V27" s="19" t="str">
        <f t="shared" si="5"/>
        <v>Increment of $2,895 earned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f t="shared" si="0"/>
        <v>Retain</v>
      </c>
      <c r="R28" s="18" t="str">
        <f t="shared" si="1"/>
        <v>No bonus</v>
      </c>
      <c r="S28" s="15" t="str">
        <f t="shared" si="2"/>
        <v>Low</v>
      </c>
      <c r="T28" s="15" t="str">
        <f t="shared" si="3"/>
        <v>No WFH</v>
      </c>
      <c r="U28" s="15" t="str">
        <f t="shared" si="4"/>
        <v>No WFH</v>
      </c>
      <c r="V28" s="19" t="str">
        <f t="shared" si="5"/>
        <v>Not applicable for increment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f t="shared" si="0"/>
        <v>Retain</v>
      </c>
      <c r="R29" s="18" t="str">
        <f t="shared" si="1"/>
        <v>No bonus</v>
      </c>
      <c r="S29" s="15" t="str">
        <f t="shared" si="2"/>
        <v>Mid</v>
      </c>
      <c r="T29" s="15" t="str">
        <f t="shared" si="3"/>
        <v>No WFH</v>
      </c>
      <c r="U29" s="15" t="str">
        <f t="shared" si="4"/>
        <v>No WFH</v>
      </c>
      <c r="V29" s="19" t="str">
        <f t="shared" si="5"/>
        <v>Not applicable for increment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f t="shared" si="0"/>
        <v>Retain</v>
      </c>
      <c r="R30" s="18" t="str">
        <f t="shared" si="1"/>
        <v>No bonus</v>
      </c>
      <c r="S30" s="15" t="str">
        <f t="shared" si="2"/>
        <v>High</v>
      </c>
      <c r="T30" s="15" t="str">
        <f t="shared" si="3"/>
        <v>No WFH</v>
      </c>
      <c r="U30" s="15" t="str">
        <f t="shared" si="4"/>
        <v>Work-From-Home flexibility</v>
      </c>
      <c r="V30" s="19" t="str">
        <f t="shared" si="5"/>
        <v>Increment of $8,539 earned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f t="shared" si="0"/>
        <v>Retain</v>
      </c>
      <c r="R31" s="18" t="str">
        <f t="shared" si="1"/>
        <v>No bonus</v>
      </c>
      <c r="S31" s="15" t="str">
        <f t="shared" si="2"/>
        <v>Mid</v>
      </c>
      <c r="T31" s="15" t="str">
        <f t="shared" si="3"/>
        <v>Work-From-Home flexibility</v>
      </c>
      <c r="U31" s="15" t="str">
        <f t="shared" si="4"/>
        <v>Work-From-Home flexibility</v>
      </c>
      <c r="V31" s="19" t="str">
        <f t="shared" si="5"/>
        <v>Not applicable for increment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f t="shared" si="0"/>
        <v>Retain</v>
      </c>
      <c r="R32" s="18" t="str">
        <f t="shared" si="1"/>
        <v>No bonus</v>
      </c>
      <c r="S32" s="15" t="str">
        <f t="shared" si="2"/>
        <v>High</v>
      </c>
      <c r="T32" s="15" t="str">
        <f t="shared" si="3"/>
        <v>No WFH</v>
      </c>
      <c r="U32" s="15" t="str">
        <f t="shared" si="4"/>
        <v>No WFH</v>
      </c>
      <c r="V32" s="19" t="str">
        <f t="shared" si="5"/>
        <v>Increment of $9,650 earned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f t="shared" si="0"/>
        <v>Retain</v>
      </c>
      <c r="R33" s="18" t="str">
        <f t="shared" si="1"/>
        <v>Bonus of $1,896 earned</v>
      </c>
      <c r="S33" s="15" t="str">
        <f t="shared" si="2"/>
        <v>Low</v>
      </c>
      <c r="T33" s="15" t="str">
        <f t="shared" si="3"/>
        <v>No WFH</v>
      </c>
      <c r="U33" s="15" t="str">
        <f t="shared" si="4"/>
        <v>Work-From-Home flexibility</v>
      </c>
      <c r="V33" s="19" t="str">
        <f t="shared" si="5"/>
        <v>Increment of $5,688 earned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f t="shared" si="0"/>
        <v>Terminate</v>
      </c>
      <c r="R34" s="18" t="str">
        <f t="shared" si="1"/>
        <v>No bonus</v>
      </c>
      <c r="S34" s="15" t="str">
        <f t="shared" si="2"/>
        <v>High</v>
      </c>
      <c r="T34" s="15" t="str">
        <f t="shared" si="3"/>
        <v>No WFH</v>
      </c>
      <c r="U34" s="15" t="str">
        <f t="shared" si="4"/>
        <v>No WFH</v>
      </c>
      <c r="V34" s="19" t="str">
        <f t="shared" si="5"/>
        <v>Not applicable for increment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f t="shared" si="0"/>
        <v>Retain</v>
      </c>
      <c r="R35" s="18" t="str">
        <f t="shared" si="1"/>
        <v>No bonus</v>
      </c>
      <c r="S35" s="15" t="str">
        <f t="shared" si="2"/>
        <v>Mid</v>
      </c>
      <c r="T35" s="15" t="str">
        <f t="shared" si="3"/>
        <v>No WFH</v>
      </c>
      <c r="U35" s="15" t="str">
        <f t="shared" si="4"/>
        <v>No WFH</v>
      </c>
      <c r="V35" s="19" t="str">
        <f t="shared" si="5"/>
        <v>Increment of $7,551 earned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22" t="s">
        <v>225</v>
      </c>
      <c r="Q36" s="15" t="str">
        <f t="shared" si="0"/>
        <v>Retain</v>
      </c>
      <c r="R36" s="18" t="str">
        <f t="shared" si="1"/>
        <v>No bonus</v>
      </c>
      <c r="S36" s="15" t="str">
        <f t="shared" si="2"/>
        <v>High</v>
      </c>
      <c r="T36" s="15" t="str">
        <f t="shared" si="3"/>
        <v>No WFH</v>
      </c>
      <c r="U36" s="15" t="str">
        <f t="shared" si="4"/>
        <v>No WFH</v>
      </c>
      <c r="V36" s="19" t="e">
        <f t="shared" si="5"/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f t="shared" si="0"/>
        <v>Retain</v>
      </c>
      <c r="R37" s="18" t="str">
        <f t="shared" si="1"/>
        <v>No bonus</v>
      </c>
      <c r="S37" s="15" t="str">
        <f t="shared" si="2"/>
        <v>High</v>
      </c>
      <c r="T37" s="15" t="str">
        <f t="shared" si="3"/>
        <v>No WFH</v>
      </c>
      <c r="U37" s="15" t="str">
        <f t="shared" si="4"/>
        <v>Work-From-Home flexibility</v>
      </c>
      <c r="V37" s="19" t="str">
        <f t="shared" si="5"/>
        <v>Increment of $13,586 earned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f t="shared" si="0"/>
        <v>Retain</v>
      </c>
      <c r="R38" s="18" t="str">
        <f t="shared" si="1"/>
        <v>Bonus of $7,172 earned</v>
      </c>
      <c r="S38" s="15" t="str">
        <f t="shared" si="2"/>
        <v>High</v>
      </c>
      <c r="T38" s="15" t="str">
        <f t="shared" si="3"/>
        <v>No WFH</v>
      </c>
      <c r="U38" s="15" t="str">
        <f t="shared" si="4"/>
        <v>No WFH</v>
      </c>
      <c r="V38" s="19" t="str">
        <f t="shared" si="5"/>
        <v>Increment of $21,517 earned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f t="shared" si="0"/>
        <v>Retain</v>
      </c>
      <c r="R39" s="18" t="str">
        <f t="shared" si="1"/>
        <v>No bonus</v>
      </c>
      <c r="S39" s="15" t="str">
        <f t="shared" si="2"/>
        <v>Low</v>
      </c>
      <c r="T39" s="15" t="str">
        <f t="shared" si="3"/>
        <v>No WFH</v>
      </c>
      <c r="U39" s="15" t="str">
        <f t="shared" si="4"/>
        <v>Work-From-Home flexibility</v>
      </c>
      <c r="V39" s="19" t="str">
        <f t="shared" si="5"/>
        <v>Not applicable for increment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f t="shared" si="0"/>
        <v>Retain</v>
      </c>
      <c r="R40" s="18" t="str">
        <f t="shared" si="1"/>
        <v>No bonus</v>
      </c>
      <c r="S40" s="15" t="str">
        <f t="shared" si="2"/>
        <v>High</v>
      </c>
      <c r="T40" s="15" t="str">
        <f t="shared" si="3"/>
        <v>No WFH</v>
      </c>
      <c r="U40" s="15" t="str">
        <f t="shared" si="4"/>
        <v>Work-From-Home flexibility</v>
      </c>
      <c r="V40" s="19" t="str">
        <f t="shared" si="5"/>
        <v>Increment of $15,235 earned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f t="shared" si="0"/>
        <v>Terminate</v>
      </c>
      <c r="R41" s="18" t="str">
        <f t="shared" si="1"/>
        <v>No bonus</v>
      </c>
      <c r="S41" s="15" t="str">
        <f t="shared" si="2"/>
        <v>Low</v>
      </c>
      <c r="T41" s="15" t="str">
        <f t="shared" si="3"/>
        <v>No WFH</v>
      </c>
      <c r="U41" s="15" t="str">
        <f t="shared" si="4"/>
        <v>No WFH</v>
      </c>
      <c r="V41" s="19" t="str">
        <f t="shared" si="5"/>
        <v>Not applicable for increment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f t="shared" si="0"/>
        <v>Retain</v>
      </c>
      <c r="R42" s="18" t="str">
        <f t="shared" si="1"/>
        <v>No bonus</v>
      </c>
      <c r="S42" s="15" t="str">
        <f t="shared" si="2"/>
        <v>Mid</v>
      </c>
      <c r="T42" s="15" t="str">
        <f t="shared" si="3"/>
        <v>No WFH</v>
      </c>
      <c r="U42" s="15" t="str">
        <f t="shared" si="4"/>
        <v>Work-From-Home flexibility</v>
      </c>
      <c r="V42" s="19" t="str">
        <f t="shared" si="5"/>
        <v>Not applicable for increment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f t="shared" si="0"/>
        <v>Retain</v>
      </c>
      <c r="R43" s="18" t="str">
        <f t="shared" si="1"/>
        <v>No bonus</v>
      </c>
      <c r="S43" s="15" t="str">
        <f t="shared" si="2"/>
        <v>High</v>
      </c>
      <c r="T43" s="15" t="str">
        <f t="shared" si="3"/>
        <v>No WFH</v>
      </c>
      <c r="U43" s="15" t="str">
        <f t="shared" si="4"/>
        <v>Work-From-Home flexibility</v>
      </c>
      <c r="V43" s="19" t="str">
        <f t="shared" si="5"/>
        <v>Increment of $16,845 earned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f t="shared" si="0"/>
        <v>Retain</v>
      </c>
      <c r="R44" s="18" t="str">
        <f t="shared" si="1"/>
        <v>No bonus</v>
      </c>
      <c r="S44" s="15" t="str">
        <f t="shared" si="2"/>
        <v>Low</v>
      </c>
      <c r="T44" s="15" t="str">
        <f t="shared" si="3"/>
        <v>No WFH</v>
      </c>
      <c r="U44" s="15" t="str">
        <f t="shared" si="4"/>
        <v>No WFH</v>
      </c>
      <c r="V44" s="19" t="str">
        <f t="shared" si="5"/>
        <v>Increment of $4,169 earned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f t="shared" si="0"/>
        <v>Terminate</v>
      </c>
      <c r="R45" s="18" t="str">
        <f t="shared" si="1"/>
        <v>No bonus</v>
      </c>
      <c r="S45" s="15" t="str">
        <f t="shared" si="2"/>
        <v>High</v>
      </c>
      <c r="T45" s="15" t="str">
        <f t="shared" si="3"/>
        <v>No WFH</v>
      </c>
      <c r="U45" s="15" t="str">
        <f t="shared" si="4"/>
        <v>No WFH</v>
      </c>
      <c r="V45" s="19" t="str">
        <f t="shared" si="5"/>
        <v>Not applicable for increment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f t="shared" si="0"/>
        <v>Retain</v>
      </c>
      <c r="R46" s="18" t="str">
        <f t="shared" si="1"/>
        <v>No bonus</v>
      </c>
      <c r="S46" s="15" t="str">
        <f t="shared" si="2"/>
        <v>Mid</v>
      </c>
      <c r="T46" s="15" t="str">
        <f t="shared" si="3"/>
        <v>No WFH</v>
      </c>
      <c r="U46" s="15" t="str">
        <f t="shared" si="4"/>
        <v>Work-From-Home flexibility</v>
      </c>
      <c r="V46" s="19" t="str">
        <f t="shared" si="5"/>
        <v>Not applicable for increment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f t="shared" si="0"/>
        <v>Retain</v>
      </c>
      <c r="R47" s="18" t="str">
        <f t="shared" si="1"/>
        <v>No bonus</v>
      </c>
      <c r="S47" s="15" t="str">
        <f t="shared" si="2"/>
        <v>High</v>
      </c>
      <c r="T47" s="15" t="str">
        <f t="shared" si="3"/>
        <v>No WFH</v>
      </c>
      <c r="U47" s="15" t="str">
        <f t="shared" si="4"/>
        <v>No WFH</v>
      </c>
      <c r="V47" s="19" t="str">
        <f t="shared" si="5"/>
        <v>Not applicable for increment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f t="shared" si="0"/>
        <v>Retain</v>
      </c>
      <c r="R48" s="18" t="str">
        <f t="shared" si="1"/>
        <v>Bonus of $4,444 earned</v>
      </c>
      <c r="S48" s="15" t="str">
        <f t="shared" si="2"/>
        <v>High</v>
      </c>
      <c r="T48" s="15" t="str">
        <f t="shared" si="3"/>
        <v>No WFH</v>
      </c>
      <c r="U48" s="15" t="str">
        <f t="shared" si="4"/>
        <v>No WFH</v>
      </c>
      <c r="V48" s="19" t="str">
        <f t="shared" si="5"/>
        <v>Increment of $13,331 earned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f t="shared" si="0"/>
        <v>Retain</v>
      </c>
      <c r="R49" s="18" t="str">
        <f t="shared" si="1"/>
        <v>No bonus</v>
      </c>
      <c r="S49" s="15" t="str">
        <f t="shared" si="2"/>
        <v>High</v>
      </c>
      <c r="T49" s="15" t="str">
        <f t="shared" si="3"/>
        <v>No WFH</v>
      </c>
      <c r="U49" s="15" t="str">
        <f t="shared" si="4"/>
        <v>Work-From-Home flexibility</v>
      </c>
      <c r="V49" s="19" t="str">
        <f t="shared" si="5"/>
        <v>Increment of $16,150 earned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f t="shared" si="0"/>
        <v>Retain</v>
      </c>
      <c r="R50" s="18" t="str">
        <f t="shared" si="1"/>
        <v>Bonus of $5,920 earned</v>
      </c>
      <c r="S50" s="15" t="str">
        <f t="shared" si="2"/>
        <v>High</v>
      </c>
      <c r="T50" s="15" t="str">
        <f t="shared" si="3"/>
        <v>No WFH</v>
      </c>
      <c r="U50" s="15" t="str">
        <f t="shared" si="4"/>
        <v>Work-From-Home flexibility</v>
      </c>
      <c r="V50" s="19" t="str">
        <f t="shared" si="5"/>
        <v>Increment of $17,760 earned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f t="shared" si="0"/>
        <v>Retain</v>
      </c>
      <c r="R51" s="18" t="str">
        <f t="shared" si="1"/>
        <v>No bonus</v>
      </c>
      <c r="S51" s="15" t="str">
        <f t="shared" si="2"/>
        <v>High</v>
      </c>
      <c r="T51" s="15" t="str">
        <f t="shared" si="3"/>
        <v>No WFH</v>
      </c>
      <c r="U51" s="15" t="str">
        <f t="shared" si="4"/>
        <v>No WFH</v>
      </c>
      <c r="V51" s="19" t="str">
        <f t="shared" si="5"/>
        <v>Increment of $11,601 earned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f t="shared" si="0"/>
        <v>Retain</v>
      </c>
      <c r="R52" s="18" t="str">
        <f t="shared" si="1"/>
        <v>No bonus</v>
      </c>
      <c r="S52" s="15" t="str">
        <f t="shared" si="2"/>
        <v>High</v>
      </c>
      <c r="T52" s="15" t="str">
        <f t="shared" si="3"/>
        <v>No WFH</v>
      </c>
      <c r="U52" s="15" t="str">
        <f t="shared" si="4"/>
        <v>No WFH</v>
      </c>
      <c r="V52" s="19" t="str">
        <f t="shared" si="5"/>
        <v>Increment of $11,127 earned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f t="shared" si="0"/>
        <v>Terminate</v>
      </c>
      <c r="R53" s="18" t="str">
        <f t="shared" si="1"/>
        <v>No bonus</v>
      </c>
      <c r="S53" s="15" t="str">
        <f t="shared" si="2"/>
        <v>Low</v>
      </c>
      <c r="T53" s="15" t="str">
        <f t="shared" si="3"/>
        <v>Work-From-Home flexibility</v>
      </c>
      <c r="U53" s="15" t="str">
        <f t="shared" si="4"/>
        <v>Work-From-Home flexibility</v>
      </c>
      <c r="V53" s="19" t="str">
        <f t="shared" si="5"/>
        <v>Not applicable for increment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f t="shared" si="0"/>
        <v>Retain</v>
      </c>
      <c r="R54" s="18" t="str">
        <f t="shared" si="1"/>
        <v>No bonus</v>
      </c>
      <c r="S54" s="15" t="str">
        <f t="shared" si="2"/>
        <v>High</v>
      </c>
      <c r="T54" s="15" t="str">
        <f t="shared" si="3"/>
        <v>No WFH</v>
      </c>
      <c r="U54" s="15" t="str">
        <f t="shared" si="4"/>
        <v>Work-From-Home flexibility</v>
      </c>
      <c r="V54" s="19" t="str">
        <f t="shared" si="5"/>
        <v>Not applicable for increment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f t="shared" si="0"/>
        <v>Retain</v>
      </c>
      <c r="R55" s="18" t="str">
        <f t="shared" si="1"/>
        <v>Bonus of $3,402 earned</v>
      </c>
      <c r="S55" s="15" t="str">
        <f t="shared" si="2"/>
        <v>Mid</v>
      </c>
      <c r="T55" s="15" t="str">
        <f t="shared" si="3"/>
        <v>No WFH</v>
      </c>
      <c r="U55" s="15" t="str">
        <f t="shared" si="4"/>
        <v>No WFH</v>
      </c>
      <c r="V55" s="19" t="str">
        <f t="shared" si="5"/>
        <v>Increment of $10,206 earned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f t="shared" si="0"/>
        <v>Retain</v>
      </c>
      <c r="R56" s="18" t="str">
        <f t="shared" si="1"/>
        <v>No bonus</v>
      </c>
      <c r="S56" s="15" t="str">
        <f t="shared" si="2"/>
        <v>Low</v>
      </c>
      <c r="T56" s="15" t="str">
        <f t="shared" si="3"/>
        <v>No WFH</v>
      </c>
      <c r="U56" s="15" t="str">
        <f t="shared" si="4"/>
        <v>No WFH</v>
      </c>
      <c r="V56" s="19" t="str">
        <f t="shared" si="5"/>
        <v>Increment of $3,203 earned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f t="shared" si="0"/>
        <v>Retain</v>
      </c>
      <c r="R57" s="18" t="str">
        <f t="shared" si="1"/>
        <v>No bonus</v>
      </c>
      <c r="S57" s="15" t="str">
        <f t="shared" si="2"/>
        <v>High</v>
      </c>
      <c r="T57" s="15" t="str">
        <f t="shared" si="3"/>
        <v>No WFH</v>
      </c>
      <c r="U57" s="15" t="str">
        <f t="shared" si="4"/>
        <v>No WFH</v>
      </c>
      <c r="V57" s="19" t="str">
        <f t="shared" si="5"/>
        <v>Not applicable for increment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f t="shared" si="0"/>
        <v>Retain</v>
      </c>
      <c r="R58" s="18" t="str">
        <f t="shared" si="1"/>
        <v>No bonus</v>
      </c>
      <c r="S58" s="15" t="str">
        <f t="shared" si="2"/>
        <v>High</v>
      </c>
      <c r="T58" s="15" t="str">
        <f t="shared" si="3"/>
        <v>No WFH</v>
      </c>
      <c r="U58" s="15" t="str">
        <f t="shared" si="4"/>
        <v>Work-From-Home flexibility</v>
      </c>
      <c r="V58" s="19" t="str">
        <f t="shared" si="5"/>
        <v>Not applicable for increment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f t="shared" si="0"/>
        <v>Terminate</v>
      </c>
      <c r="R59" s="18" t="str">
        <f t="shared" si="1"/>
        <v>No bonus</v>
      </c>
      <c r="S59" s="15" t="str">
        <f t="shared" si="2"/>
        <v>Mid</v>
      </c>
      <c r="T59" s="15" t="str">
        <f t="shared" si="3"/>
        <v>No WFH</v>
      </c>
      <c r="U59" s="15" t="str">
        <f t="shared" si="4"/>
        <v>Work-From-Home flexibility</v>
      </c>
      <c r="V59" s="19" t="str">
        <f t="shared" si="5"/>
        <v>Not applicable for increment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f t="shared" si="0"/>
        <v>Retain</v>
      </c>
      <c r="R60" s="18" t="str">
        <f t="shared" si="1"/>
        <v>No bonus</v>
      </c>
      <c r="S60" s="15" t="str">
        <f t="shared" si="2"/>
        <v>Low</v>
      </c>
      <c r="T60" s="15" t="str">
        <f t="shared" si="3"/>
        <v>No WFH</v>
      </c>
      <c r="U60" s="15" t="str">
        <f t="shared" si="4"/>
        <v>No WFH</v>
      </c>
      <c r="V60" s="19" t="str">
        <f t="shared" si="5"/>
        <v>Increment of $2,096 earned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f t="shared" si="0"/>
        <v>Retain</v>
      </c>
      <c r="R61" s="18" t="str">
        <f t="shared" si="1"/>
        <v>No bonus</v>
      </c>
      <c r="S61" s="15" t="str">
        <f t="shared" si="2"/>
        <v>High</v>
      </c>
      <c r="T61" s="15" t="str">
        <f t="shared" si="3"/>
        <v>No WFH</v>
      </c>
      <c r="U61" s="15" t="str">
        <f t="shared" si="4"/>
        <v>No WFH</v>
      </c>
      <c r="V61" s="19" t="str">
        <f t="shared" si="5"/>
        <v>Not applicable for increment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f t="shared" si="0"/>
        <v>Retain</v>
      </c>
      <c r="R62" s="18" t="str">
        <f t="shared" si="1"/>
        <v>No bonus</v>
      </c>
      <c r="S62" s="15" t="str">
        <f t="shared" si="2"/>
        <v>High</v>
      </c>
      <c r="T62" s="15" t="str">
        <f t="shared" si="3"/>
        <v>No WFH</v>
      </c>
      <c r="U62" s="15" t="str">
        <f t="shared" si="4"/>
        <v>No WFH</v>
      </c>
      <c r="V62" s="19" t="e">
        <f t="shared" si="5"/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f t="shared" si="0"/>
        <v>Retain</v>
      </c>
      <c r="R63" s="18" t="str">
        <f t="shared" si="1"/>
        <v>No bonus</v>
      </c>
      <c r="S63" s="15" t="str">
        <f t="shared" si="2"/>
        <v>High</v>
      </c>
      <c r="T63" s="15" t="str">
        <f t="shared" si="3"/>
        <v>No WFH</v>
      </c>
      <c r="U63" s="15" t="str">
        <f t="shared" si="4"/>
        <v>No WFH</v>
      </c>
      <c r="V63" s="19" t="str">
        <f t="shared" si="5"/>
        <v>Increment of $9,869 earned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f t="shared" si="0"/>
        <v>Retain</v>
      </c>
      <c r="R64" s="18" t="str">
        <f t="shared" si="1"/>
        <v>No bonus</v>
      </c>
      <c r="S64" s="15" t="str">
        <f t="shared" si="2"/>
        <v>Mid</v>
      </c>
      <c r="T64" s="15" t="str">
        <f t="shared" si="3"/>
        <v>No WFH</v>
      </c>
      <c r="U64" s="15" t="str">
        <f t="shared" si="4"/>
        <v>No WFH</v>
      </c>
      <c r="V64" s="19" t="str">
        <f t="shared" si="5"/>
        <v>Increment of $6,458 earned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f t="shared" si="0"/>
        <v>Retain</v>
      </c>
      <c r="R65" s="18" t="str">
        <f t="shared" si="1"/>
        <v>No bonus</v>
      </c>
      <c r="S65" s="15" t="str">
        <f t="shared" si="2"/>
        <v>High</v>
      </c>
      <c r="T65" s="15" t="str">
        <f t="shared" si="3"/>
        <v>No WFH</v>
      </c>
      <c r="U65" s="15" t="str">
        <f t="shared" si="4"/>
        <v>No WFH</v>
      </c>
      <c r="V65" s="19" t="str">
        <f t="shared" si="5"/>
        <v>Not applicable for increment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f t="shared" si="0"/>
        <v>Retain</v>
      </c>
      <c r="R66" s="18" t="str">
        <f t="shared" si="1"/>
        <v>No bonus</v>
      </c>
      <c r="S66" s="15" t="str">
        <f t="shared" si="2"/>
        <v>Low</v>
      </c>
      <c r="T66" s="15" t="str">
        <f t="shared" si="3"/>
        <v>No WFH</v>
      </c>
      <c r="U66" s="15" t="str">
        <f t="shared" si="4"/>
        <v>Work-From-Home flexibility</v>
      </c>
      <c r="V66" s="19" t="str">
        <f t="shared" si="5"/>
        <v>Not applicable for increment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f t="shared" si="0"/>
        <v>Retain</v>
      </c>
      <c r="R67" s="18" t="str">
        <f t="shared" si="1"/>
        <v>No bonus</v>
      </c>
      <c r="S67" s="15" t="str">
        <f t="shared" si="2"/>
        <v>High</v>
      </c>
      <c r="T67" s="15" t="str">
        <f t="shared" si="3"/>
        <v>No WFH</v>
      </c>
      <c r="U67" s="15" t="str">
        <f t="shared" si="4"/>
        <v>No WFH</v>
      </c>
      <c r="V67" s="19" t="str">
        <f t="shared" si="5"/>
        <v>Increment of $10,336 earned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f t="shared" si="0"/>
        <v>Retain</v>
      </c>
      <c r="R68" s="18" t="str">
        <f t="shared" si="1"/>
        <v>No bonus</v>
      </c>
      <c r="S68" s="15" t="str">
        <f t="shared" si="2"/>
        <v>High</v>
      </c>
      <c r="T68" s="15" t="str">
        <f t="shared" si="3"/>
        <v>No WFH</v>
      </c>
      <c r="U68" s="15" t="str">
        <f t="shared" si="4"/>
        <v>No WFH</v>
      </c>
      <c r="V68" s="19" t="str">
        <f t="shared" si="5"/>
        <v>Increment of $11,885 earned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f t="shared" ref="Q69:Q132" si="6">IF(N69="Very Poor","Terminate","Retain")</f>
        <v>Retain</v>
      </c>
      <c r="R69" s="18" t="str">
        <f t="shared" ref="R69:R132" si="7">IF(N69="Very Good","Bonus of " &amp; TEXT(P69*0.05,"$000,0") &amp; " earned","No bonus")</f>
        <v>Bonus of $5,159 earned</v>
      </c>
      <c r="S69" s="15" t="str">
        <f t="shared" ref="S69:S132" si="8">IF(P69&lt;40000,"Low",IF(AND(P69&gt;=40000,P69&lt;80000),"Mid","High"))</f>
        <v>High</v>
      </c>
      <c r="T69" s="15" t="str">
        <f t="shared" ref="T69:T132" si="9">IF(AND(L69="HR",I69="Mumbai"),"Work-From-Home flexibility","No WFH")</f>
        <v>No WFH</v>
      </c>
      <c r="U69" s="15" t="str">
        <f t="shared" ref="U69:U132" si="10">IF(OR(L69="HR",L69="Finance"),"Work-From-Home flexibility","No WFH")</f>
        <v>Work-From-Home flexibility</v>
      </c>
      <c r="V69" s="19" t="str">
        <f t="shared" ref="V69:V132" si="11">IF(N69="Very Good","Increment of "&amp;TEXT(P69*15%,"$000,0")&amp;" earned",IF(N69="Good","Increment of "&amp;TEXT(P69*12%,"$000,0")&amp;" earned",IF(N69="Average","Increment of "&amp;TEXT(P69*10%,"$000,0")&amp;" earned", "Not applicable for increment")))</f>
        <v>Increment of $15,476 earned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f t="shared" si="6"/>
        <v>Retain</v>
      </c>
      <c r="R70" s="18" t="str">
        <f t="shared" si="7"/>
        <v>No bonus</v>
      </c>
      <c r="S70" s="15" t="str">
        <f t="shared" si="8"/>
        <v>High</v>
      </c>
      <c r="T70" s="15" t="str">
        <f t="shared" si="9"/>
        <v>No WFH</v>
      </c>
      <c r="U70" s="15" t="str">
        <f t="shared" si="10"/>
        <v>No WFH</v>
      </c>
      <c r="V70" s="19" t="str">
        <f t="shared" si="11"/>
        <v>Increment of $11,169 earned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f t="shared" si="6"/>
        <v>Retain</v>
      </c>
      <c r="R71" s="18" t="str">
        <f t="shared" si="7"/>
        <v>No bonus</v>
      </c>
      <c r="S71" s="15" t="str">
        <f t="shared" si="8"/>
        <v>High</v>
      </c>
      <c r="T71" s="15" t="str">
        <f t="shared" si="9"/>
        <v>No WFH</v>
      </c>
      <c r="U71" s="15" t="str">
        <f t="shared" si="10"/>
        <v>Work-From-Home flexibility</v>
      </c>
      <c r="V71" s="19" t="str">
        <f t="shared" si="11"/>
        <v>Increment of $10,076 earned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f t="shared" si="6"/>
        <v>Retain</v>
      </c>
      <c r="R72" s="18" t="str">
        <f t="shared" si="7"/>
        <v>No bonus</v>
      </c>
      <c r="S72" s="15" t="str">
        <f t="shared" si="8"/>
        <v>High</v>
      </c>
      <c r="T72" s="15" t="str">
        <f t="shared" si="9"/>
        <v>No WFH</v>
      </c>
      <c r="U72" s="15" t="str">
        <f t="shared" si="10"/>
        <v>No WFH</v>
      </c>
      <c r="V72" s="19" t="str">
        <f t="shared" si="11"/>
        <v>Not applicable for increment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f t="shared" si="6"/>
        <v>Terminate</v>
      </c>
      <c r="R73" s="18" t="str">
        <f t="shared" si="7"/>
        <v>No bonus</v>
      </c>
      <c r="S73" s="15" t="str">
        <f t="shared" si="8"/>
        <v>High</v>
      </c>
      <c r="T73" s="15" t="str">
        <f t="shared" si="9"/>
        <v>No WFH</v>
      </c>
      <c r="U73" s="15" t="str">
        <f t="shared" si="10"/>
        <v>No WFH</v>
      </c>
      <c r="V73" s="19" t="str">
        <f t="shared" si="11"/>
        <v>Not applicable for increment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f t="shared" si="6"/>
        <v>Retain</v>
      </c>
      <c r="R74" s="18" t="str">
        <f t="shared" si="7"/>
        <v>No bonus</v>
      </c>
      <c r="S74" s="15" t="str">
        <f t="shared" si="8"/>
        <v>High</v>
      </c>
      <c r="T74" s="15" t="str">
        <f t="shared" si="9"/>
        <v>No WFH</v>
      </c>
      <c r="U74" s="15" t="str">
        <f t="shared" si="10"/>
        <v>No WFH</v>
      </c>
      <c r="V74" s="19" t="str">
        <f t="shared" si="11"/>
        <v>Not applicable for increment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f t="shared" si="6"/>
        <v>Retain</v>
      </c>
      <c r="R75" s="18" t="str">
        <f t="shared" si="7"/>
        <v>No bonus</v>
      </c>
      <c r="S75" s="15" t="str">
        <f t="shared" si="8"/>
        <v>Mid</v>
      </c>
      <c r="T75" s="15" t="str">
        <f t="shared" si="9"/>
        <v>No WFH</v>
      </c>
      <c r="U75" s="15" t="str">
        <f t="shared" si="10"/>
        <v>No WFH</v>
      </c>
      <c r="V75" s="19" t="str">
        <f t="shared" si="11"/>
        <v>Not applicable for increment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f t="shared" si="6"/>
        <v>Retain</v>
      </c>
      <c r="R76" s="18" t="str">
        <f t="shared" si="7"/>
        <v>No bonus</v>
      </c>
      <c r="S76" s="15" t="str">
        <f t="shared" si="8"/>
        <v>Low</v>
      </c>
      <c r="T76" s="15" t="str">
        <f t="shared" si="9"/>
        <v>No WFH</v>
      </c>
      <c r="U76" s="15" t="str">
        <f t="shared" si="10"/>
        <v>No WFH</v>
      </c>
      <c r="V76" s="19" t="str">
        <f t="shared" si="11"/>
        <v>Increment of $4,231 earned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f t="shared" si="6"/>
        <v>Retain</v>
      </c>
      <c r="R77" s="18" t="str">
        <f t="shared" si="7"/>
        <v>No bonus</v>
      </c>
      <c r="S77" s="15" t="str">
        <f t="shared" si="8"/>
        <v>Low</v>
      </c>
      <c r="T77" s="15" t="str">
        <f t="shared" si="9"/>
        <v>No WFH</v>
      </c>
      <c r="U77" s="15" t="str">
        <f t="shared" si="10"/>
        <v>No WFH</v>
      </c>
      <c r="V77" s="19" t="str">
        <f t="shared" si="11"/>
        <v>Not applicable for increment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f t="shared" si="6"/>
        <v>Retain</v>
      </c>
      <c r="R78" s="18" t="str">
        <f t="shared" si="7"/>
        <v>No bonus</v>
      </c>
      <c r="S78" s="15" t="str">
        <f t="shared" si="8"/>
        <v>Low</v>
      </c>
      <c r="T78" s="15" t="str">
        <f t="shared" si="9"/>
        <v>No WFH</v>
      </c>
      <c r="U78" s="15" t="str">
        <f t="shared" si="10"/>
        <v>No WFH</v>
      </c>
      <c r="V78" s="19" t="str">
        <f t="shared" si="11"/>
        <v>Increment of $3,450 earned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f t="shared" si="6"/>
        <v>Terminate</v>
      </c>
      <c r="R79" s="18" t="str">
        <f t="shared" si="7"/>
        <v>No bonus</v>
      </c>
      <c r="S79" s="15" t="str">
        <f t="shared" si="8"/>
        <v>High</v>
      </c>
      <c r="T79" s="15" t="str">
        <f t="shared" si="9"/>
        <v>No WFH</v>
      </c>
      <c r="U79" s="15" t="str">
        <f t="shared" si="10"/>
        <v>No WFH</v>
      </c>
      <c r="V79" s="19" t="str">
        <f t="shared" si="11"/>
        <v>Not applicable for increment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f t="shared" si="6"/>
        <v>Retain</v>
      </c>
      <c r="R80" s="18" t="str">
        <f t="shared" si="7"/>
        <v>Bonus of $2,129 earned</v>
      </c>
      <c r="S80" s="15" t="str">
        <f t="shared" si="8"/>
        <v>Mid</v>
      </c>
      <c r="T80" s="15" t="str">
        <f t="shared" si="9"/>
        <v>No WFH</v>
      </c>
      <c r="U80" s="15" t="str">
        <f t="shared" si="10"/>
        <v>Work-From-Home flexibility</v>
      </c>
      <c r="V80" s="19" t="str">
        <f t="shared" si="11"/>
        <v>Increment of $6,387 earned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f t="shared" si="6"/>
        <v>Terminate</v>
      </c>
      <c r="R81" s="18" t="str">
        <f t="shared" si="7"/>
        <v>No bonus</v>
      </c>
      <c r="S81" s="15" t="str">
        <f t="shared" si="8"/>
        <v>High</v>
      </c>
      <c r="T81" s="15" t="str">
        <f t="shared" si="9"/>
        <v>No WFH</v>
      </c>
      <c r="U81" s="15" t="str">
        <f t="shared" si="10"/>
        <v>No WFH</v>
      </c>
      <c r="V81" s="19" t="str">
        <f t="shared" si="11"/>
        <v>Not applicable for increment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f t="shared" si="6"/>
        <v>Terminate</v>
      </c>
      <c r="R82" s="18" t="str">
        <f t="shared" si="7"/>
        <v>No bonus</v>
      </c>
      <c r="S82" s="15" t="str">
        <f t="shared" si="8"/>
        <v>High</v>
      </c>
      <c r="T82" s="15" t="str">
        <f t="shared" si="9"/>
        <v>No WFH</v>
      </c>
      <c r="U82" s="15" t="str">
        <f t="shared" si="10"/>
        <v>No WFH</v>
      </c>
      <c r="V82" s="19" t="str">
        <f t="shared" si="11"/>
        <v>Not applicable for increment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f t="shared" si="6"/>
        <v>Retain</v>
      </c>
      <c r="R83" s="18" t="str">
        <f t="shared" si="7"/>
        <v>Bonus of $4,192 earned</v>
      </c>
      <c r="S83" s="15" t="str">
        <f t="shared" si="8"/>
        <v>High</v>
      </c>
      <c r="T83" s="15" t="str">
        <f t="shared" si="9"/>
        <v>No WFH</v>
      </c>
      <c r="U83" s="15" t="str">
        <f t="shared" si="10"/>
        <v>Work-From-Home flexibility</v>
      </c>
      <c r="V83" s="19" t="str">
        <f t="shared" si="11"/>
        <v>Increment of $12,575 earned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f t="shared" si="6"/>
        <v>Retain</v>
      </c>
      <c r="R84" s="18" t="str">
        <f t="shared" si="7"/>
        <v>No bonus</v>
      </c>
      <c r="S84" s="15" t="str">
        <f t="shared" si="8"/>
        <v>High</v>
      </c>
      <c r="T84" s="15" t="str">
        <f t="shared" si="9"/>
        <v>No WFH</v>
      </c>
      <c r="U84" s="15" t="str">
        <f t="shared" si="10"/>
        <v>No WFH</v>
      </c>
      <c r="V84" s="19" t="str">
        <f t="shared" si="11"/>
        <v>Not applicable for increment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f t="shared" si="6"/>
        <v>Retain</v>
      </c>
      <c r="R85" s="18" t="str">
        <f t="shared" si="7"/>
        <v>No bonus</v>
      </c>
      <c r="S85" s="15" t="str">
        <f t="shared" si="8"/>
        <v>High</v>
      </c>
      <c r="T85" s="15" t="str">
        <f t="shared" si="9"/>
        <v>No WFH</v>
      </c>
      <c r="U85" s="15" t="str">
        <f t="shared" si="10"/>
        <v>Work-From-Home flexibility</v>
      </c>
      <c r="V85" s="19" t="str">
        <f t="shared" si="11"/>
        <v>Increment of $16,419 earned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f t="shared" si="6"/>
        <v>Retain</v>
      </c>
      <c r="R86" s="18" t="str">
        <f t="shared" si="7"/>
        <v>No bonus</v>
      </c>
      <c r="S86" s="15" t="str">
        <f t="shared" si="8"/>
        <v>Low</v>
      </c>
      <c r="T86" s="15" t="str">
        <f t="shared" si="9"/>
        <v>No WFH</v>
      </c>
      <c r="U86" s="15" t="str">
        <f t="shared" si="10"/>
        <v>No WFH</v>
      </c>
      <c r="V86" s="19" t="str">
        <f t="shared" si="11"/>
        <v>Increment of $3,828 earned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f t="shared" si="6"/>
        <v>Retain</v>
      </c>
      <c r="R87" s="18" t="str">
        <f t="shared" si="7"/>
        <v>No bonus</v>
      </c>
      <c r="S87" s="15" t="str">
        <f t="shared" si="8"/>
        <v>Mid</v>
      </c>
      <c r="T87" s="15" t="str">
        <f t="shared" si="9"/>
        <v>No WFH</v>
      </c>
      <c r="U87" s="15" t="str">
        <f t="shared" si="10"/>
        <v>Work-From-Home flexibility</v>
      </c>
      <c r="V87" s="19" t="str">
        <f t="shared" si="11"/>
        <v>Increment of $9,377 earned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f t="shared" si="6"/>
        <v>Retain</v>
      </c>
      <c r="R88" s="18" t="str">
        <f t="shared" si="7"/>
        <v>No bonus</v>
      </c>
      <c r="S88" s="15" t="str">
        <f t="shared" si="8"/>
        <v>High</v>
      </c>
      <c r="T88" s="15" t="str">
        <f t="shared" si="9"/>
        <v>No WFH</v>
      </c>
      <c r="U88" s="15" t="str">
        <f t="shared" si="10"/>
        <v>No WFH</v>
      </c>
      <c r="V88" s="19" t="str">
        <f t="shared" si="11"/>
        <v>Increment of $13,208 earned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f t="shared" si="6"/>
        <v>Retain</v>
      </c>
      <c r="R89" s="18" t="str">
        <f t="shared" si="7"/>
        <v>No bonus</v>
      </c>
      <c r="S89" s="15" t="str">
        <f t="shared" si="8"/>
        <v>High</v>
      </c>
      <c r="T89" s="15" t="str">
        <f t="shared" si="9"/>
        <v>No WFH</v>
      </c>
      <c r="U89" s="15" t="str">
        <f t="shared" si="10"/>
        <v>Work-From-Home flexibility</v>
      </c>
      <c r="V89" s="19" t="str">
        <f t="shared" si="11"/>
        <v>Not applicable for increment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f t="shared" si="6"/>
        <v>Retain</v>
      </c>
      <c r="R90" s="18" t="str">
        <f t="shared" si="7"/>
        <v>No bonus</v>
      </c>
      <c r="S90" s="15" t="str">
        <f t="shared" si="8"/>
        <v>Mid</v>
      </c>
      <c r="T90" s="15" t="str">
        <f t="shared" si="9"/>
        <v>No WFH</v>
      </c>
      <c r="U90" s="15" t="str">
        <f t="shared" si="10"/>
        <v>No WFH</v>
      </c>
      <c r="V90" s="19" t="str">
        <f t="shared" si="11"/>
        <v>Increment of $4,924 earned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f t="shared" si="6"/>
        <v>Terminate</v>
      </c>
      <c r="R91" s="18" t="str">
        <f t="shared" si="7"/>
        <v>No bonus</v>
      </c>
      <c r="S91" s="15" t="str">
        <f t="shared" si="8"/>
        <v>High</v>
      </c>
      <c r="T91" s="15" t="str">
        <f t="shared" si="9"/>
        <v>No WFH</v>
      </c>
      <c r="U91" s="15" t="str">
        <f t="shared" si="10"/>
        <v>Work-From-Home flexibility</v>
      </c>
      <c r="V91" s="19" t="str">
        <f t="shared" si="11"/>
        <v>Not applicable for increment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f t="shared" si="6"/>
        <v>Retain</v>
      </c>
      <c r="R92" s="18" t="str">
        <f t="shared" si="7"/>
        <v>No bonus</v>
      </c>
      <c r="S92" s="15" t="str">
        <f t="shared" si="8"/>
        <v>High</v>
      </c>
      <c r="T92" s="15" t="str">
        <f t="shared" si="9"/>
        <v>No WFH</v>
      </c>
      <c r="U92" s="15" t="str">
        <f t="shared" si="10"/>
        <v>No WFH</v>
      </c>
      <c r="V92" s="19" t="str">
        <f t="shared" si="11"/>
        <v>Not applicable for increment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f t="shared" si="6"/>
        <v>Terminate</v>
      </c>
      <c r="R93" s="18" t="str">
        <f t="shared" si="7"/>
        <v>No bonus</v>
      </c>
      <c r="S93" s="15" t="str">
        <f t="shared" si="8"/>
        <v>High</v>
      </c>
      <c r="T93" s="15" t="str">
        <f t="shared" si="9"/>
        <v>No WFH</v>
      </c>
      <c r="U93" s="15" t="str">
        <f t="shared" si="10"/>
        <v>No WFH</v>
      </c>
      <c r="V93" s="19" t="str">
        <f t="shared" si="11"/>
        <v>Not applicable for increment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f t="shared" si="6"/>
        <v>Retain</v>
      </c>
      <c r="R94" s="18" t="str">
        <f t="shared" si="7"/>
        <v>No bonus</v>
      </c>
      <c r="S94" s="15" t="str">
        <f t="shared" si="8"/>
        <v>Mid</v>
      </c>
      <c r="T94" s="15" t="str">
        <f t="shared" si="9"/>
        <v>No WFH</v>
      </c>
      <c r="U94" s="15" t="str">
        <f t="shared" si="10"/>
        <v>No WFH</v>
      </c>
      <c r="V94" s="19" t="str">
        <f t="shared" si="11"/>
        <v>Not applicable for increment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f t="shared" si="6"/>
        <v>Retain</v>
      </c>
      <c r="R95" s="18" t="str">
        <f t="shared" si="7"/>
        <v>No bonus</v>
      </c>
      <c r="S95" s="15" t="str">
        <f t="shared" si="8"/>
        <v>Low</v>
      </c>
      <c r="T95" s="15" t="str">
        <f t="shared" si="9"/>
        <v>No WFH</v>
      </c>
      <c r="U95" s="15" t="str">
        <f t="shared" si="10"/>
        <v>Work-From-Home flexibility</v>
      </c>
      <c r="V95" s="19" t="str">
        <f t="shared" si="11"/>
        <v>Not applicable for increment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f t="shared" si="6"/>
        <v>Retain</v>
      </c>
      <c r="R96" s="18" t="str">
        <f t="shared" si="7"/>
        <v>No bonus</v>
      </c>
      <c r="S96" s="15" t="str">
        <f t="shared" si="8"/>
        <v>High</v>
      </c>
      <c r="T96" s="15" t="str">
        <f t="shared" si="9"/>
        <v>No WFH</v>
      </c>
      <c r="U96" s="15" t="str">
        <f t="shared" si="10"/>
        <v>Work-From-Home flexibility</v>
      </c>
      <c r="V96" s="19" t="str">
        <f t="shared" si="11"/>
        <v>Not applicable for increment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f t="shared" si="6"/>
        <v>Terminate</v>
      </c>
      <c r="R97" s="18" t="str">
        <f t="shared" si="7"/>
        <v>No bonus</v>
      </c>
      <c r="S97" s="15" t="str">
        <f t="shared" si="8"/>
        <v>High</v>
      </c>
      <c r="T97" s="15" t="str">
        <f t="shared" si="9"/>
        <v>No WFH</v>
      </c>
      <c r="U97" s="15" t="str">
        <f t="shared" si="10"/>
        <v>Work-From-Home flexibility</v>
      </c>
      <c r="V97" s="19" t="str">
        <f t="shared" si="11"/>
        <v>Not applicable for increment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f t="shared" si="6"/>
        <v>Retain</v>
      </c>
      <c r="R98" s="18" t="str">
        <f t="shared" si="7"/>
        <v>Bonus of $2,897 earned</v>
      </c>
      <c r="S98" s="15" t="str">
        <f t="shared" si="8"/>
        <v>Mid</v>
      </c>
      <c r="T98" s="15" t="str">
        <f t="shared" si="9"/>
        <v>No WFH</v>
      </c>
      <c r="U98" s="15" t="str">
        <f t="shared" si="10"/>
        <v>No WFH</v>
      </c>
      <c r="V98" s="19" t="str">
        <f t="shared" si="11"/>
        <v>Increment of $8,691 earned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f t="shared" si="6"/>
        <v>Retain</v>
      </c>
      <c r="R99" s="18" t="str">
        <f t="shared" si="7"/>
        <v>Bonus of $5,547 earned</v>
      </c>
      <c r="S99" s="15" t="str">
        <f t="shared" si="8"/>
        <v>High</v>
      </c>
      <c r="T99" s="15" t="str">
        <f t="shared" si="9"/>
        <v>No WFH</v>
      </c>
      <c r="U99" s="15" t="str">
        <f t="shared" si="10"/>
        <v>No WFH</v>
      </c>
      <c r="V99" s="19" t="str">
        <f t="shared" si="11"/>
        <v>Increment of $16,640 earned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f t="shared" si="6"/>
        <v>Terminate</v>
      </c>
      <c r="R100" s="18" t="str">
        <f t="shared" si="7"/>
        <v>No bonus</v>
      </c>
      <c r="S100" s="15" t="str">
        <f t="shared" si="8"/>
        <v>High</v>
      </c>
      <c r="T100" s="15" t="str">
        <f t="shared" si="9"/>
        <v>No WFH</v>
      </c>
      <c r="U100" s="15" t="str">
        <f t="shared" si="10"/>
        <v>No WFH</v>
      </c>
      <c r="V100" s="19" t="str">
        <f t="shared" si="11"/>
        <v>Not applicable for increment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f t="shared" si="6"/>
        <v>Terminate</v>
      </c>
      <c r="R101" s="18" t="str">
        <f t="shared" si="7"/>
        <v>No bonus</v>
      </c>
      <c r="S101" s="15" t="str">
        <f t="shared" si="8"/>
        <v>High</v>
      </c>
      <c r="T101" s="15" t="str">
        <f t="shared" si="9"/>
        <v>No WFH</v>
      </c>
      <c r="U101" s="15" t="str">
        <f t="shared" si="10"/>
        <v>Work-From-Home flexibility</v>
      </c>
      <c r="V101" s="19" t="str">
        <f t="shared" si="11"/>
        <v>Not applicable for increment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f t="shared" si="6"/>
        <v>Retain</v>
      </c>
      <c r="R102" s="18" t="str">
        <f t="shared" si="7"/>
        <v>Bonus of $6,426 earned</v>
      </c>
      <c r="S102" s="15" t="str">
        <f t="shared" si="8"/>
        <v>High</v>
      </c>
      <c r="T102" s="15" t="str">
        <f t="shared" si="9"/>
        <v>Work-From-Home flexibility</v>
      </c>
      <c r="U102" s="15" t="str">
        <f t="shared" si="10"/>
        <v>Work-From-Home flexibility</v>
      </c>
      <c r="V102" s="19" t="str">
        <f t="shared" si="11"/>
        <v>Increment of $19,278 earned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f t="shared" si="6"/>
        <v>Retain</v>
      </c>
      <c r="R103" s="18" t="str">
        <f t="shared" si="7"/>
        <v>No bonus</v>
      </c>
      <c r="S103" s="15" t="str">
        <f t="shared" si="8"/>
        <v>Low</v>
      </c>
      <c r="T103" s="15" t="str">
        <f t="shared" si="9"/>
        <v>No WFH</v>
      </c>
      <c r="U103" s="15" t="str">
        <f t="shared" si="10"/>
        <v>Work-From-Home flexibility</v>
      </c>
      <c r="V103" s="19" t="str">
        <f t="shared" si="11"/>
        <v>Not applicable for increment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f t="shared" si="6"/>
        <v>Terminate</v>
      </c>
      <c r="R104" s="18" t="str">
        <f t="shared" si="7"/>
        <v>No bonus</v>
      </c>
      <c r="S104" s="15" t="str">
        <f t="shared" si="8"/>
        <v>High</v>
      </c>
      <c r="T104" s="15" t="str">
        <f t="shared" si="9"/>
        <v>No WFH</v>
      </c>
      <c r="U104" s="15" t="str">
        <f t="shared" si="10"/>
        <v>No WFH</v>
      </c>
      <c r="V104" s="19" t="str">
        <f t="shared" si="11"/>
        <v>Not applicable for increment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f t="shared" si="6"/>
        <v>Retain</v>
      </c>
      <c r="R105" s="18" t="str">
        <f t="shared" si="7"/>
        <v>No bonus</v>
      </c>
      <c r="S105" s="15" t="str">
        <f t="shared" si="8"/>
        <v>High</v>
      </c>
      <c r="T105" s="15" t="str">
        <f t="shared" si="9"/>
        <v>No WFH</v>
      </c>
      <c r="U105" s="15" t="str">
        <f t="shared" si="10"/>
        <v>No WFH</v>
      </c>
      <c r="V105" s="19" t="str">
        <f t="shared" si="11"/>
        <v>Not applicable for increment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f t="shared" si="6"/>
        <v>Retain</v>
      </c>
      <c r="R106" s="18" t="str">
        <f t="shared" si="7"/>
        <v>No bonus</v>
      </c>
      <c r="S106" s="15" t="str">
        <f t="shared" si="8"/>
        <v>Mid</v>
      </c>
      <c r="T106" s="15" t="str">
        <f t="shared" si="9"/>
        <v>No WFH</v>
      </c>
      <c r="U106" s="15" t="str">
        <f t="shared" si="10"/>
        <v>Work-From-Home flexibility</v>
      </c>
      <c r="V106" s="19" t="str">
        <f t="shared" si="11"/>
        <v>Increment of $7,434 earned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f t="shared" si="6"/>
        <v>Retain</v>
      </c>
      <c r="R107" s="18" t="str">
        <f t="shared" si="7"/>
        <v>Bonus of $1,896 earned</v>
      </c>
      <c r="S107" s="15" t="str">
        <f t="shared" si="8"/>
        <v>Low</v>
      </c>
      <c r="T107" s="15" t="str">
        <f t="shared" si="9"/>
        <v>No WFH</v>
      </c>
      <c r="U107" s="15" t="str">
        <f t="shared" si="10"/>
        <v>No WFH</v>
      </c>
      <c r="V107" s="19" t="str">
        <f t="shared" si="11"/>
        <v>Increment of $5,688 earned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f t="shared" si="6"/>
        <v>Retain</v>
      </c>
      <c r="R108" s="18" t="str">
        <f t="shared" si="7"/>
        <v>No bonus</v>
      </c>
      <c r="S108" s="15" t="str">
        <f t="shared" si="8"/>
        <v>Mid</v>
      </c>
      <c r="T108" s="15" t="str">
        <f t="shared" si="9"/>
        <v>Work-From-Home flexibility</v>
      </c>
      <c r="U108" s="15" t="str">
        <f t="shared" si="10"/>
        <v>Work-From-Home flexibility</v>
      </c>
      <c r="V108" s="19" t="str">
        <f t="shared" si="11"/>
        <v>Not applicable for increment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f t="shared" si="6"/>
        <v>Terminate</v>
      </c>
      <c r="R109" s="18" t="str">
        <f t="shared" si="7"/>
        <v>No bonus</v>
      </c>
      <c r="S109" s="15" t="str">
        <f t="shared" si="8"/>
        <v>Mid</v>
      </c>
      <c r="T109" s="15" t="str">
        <f t="shared" si="9"/>
        <v>No WFH</v>
      </c>
      <c r="U109" s="15" t="str">
        <f t="shared" si="10"/>
        <v>Work-From-Home flexibility</v>
      </c>
      <c r="V109" s="19" t="str">
        <f t="shared" si="11"/>
        <v>Not applicable for increment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f t="shared" si="6"/>
        <v>Retain</v>
      </c>
      <c r="R110" s="18" t="str">
        <f t="shared" si="7"/>
        <v>No bonus</v>
      </c>
      <c r="S110" s="15" t="str">
        <f t="shared" si="8"/>
        <v>High</v>
      </c>
      <c r="T110" s="15" t="str">
        <f t="shared" si="9"/>
        <v>No WFH</v>
      </c>
      <c r="U110" s="15" t="str">
        <f t="shared" si="10"/>
        <v>No WFH</v>
      </c>
      <c r="V110" s="19" t="str">
        <f t="shared" si="11"/>
        <v>Increment of $9,795 earned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f t="shared" si="6"/>
        <v>Retain</v>
      </c>
      <c r="R111" s="18" t="str">
        <f t="shared" si="7"/>
        <v>No bonus</v>
      </c>
      <c r="S111" s="15" t="str">
        <f t="shared" si="8"/>
        <v>Low</v>
      </c>
      <c r="T111" s="15" t="str">
        <f t="shared" si="9"/>
        <v>No WFH</v>
      </c>
      <c r="U111" s="15" t="str">
        <f t="shared" si="10"/>
        <v>Work-From-Home flexibility</v>
      </c>
      <c r="V111" s="19" t="str">
        <f t="shared" si="11"/>
        <v>Not applicable for increment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f t="shared" si="6"/>
        <v>Retain</v>
      </c>
      <c r="R112" s="18" t="str">
        <f t="shared" si="7"/>
        <v>No bonus</v>
      </c>
      <c r="S112" s="15" t="str">
        <f t="shared" si="8"/>
        <v>Mid</v>
      </c>
      <c r="T112" s="15" t="str">
        <f t="shared" si="9"/>
        <v>No WFH</v>
      </c>
      <c r="U112" s="15" t="str">
        <f t="shared" si="10"/>
        <v>No WFH</v>
      </c>
      <c r="V112" s="19" t="str">
        <f t="shared" si="11"/>
        <v>Increment of $8,063 earned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f t="shared" si="6"/>
        <v>Retain</v>
      </c>
      <c r="R113" s="18" t="str">
        <f t="shared" si="7"/>
        <v>Bonus of $4,399 earned</v>
      </c>
      <c r="S113" s="15" t="str">
        <f t="shared" si="8"/>
        <v>High</v>
      </c>
      <c r="T113" s="15" t="str">
        <f t="shared" si="9"/>
        <v>No WFH</v>
      </c>
      <c r="U113" s="15" t="str">
        <f t="shared" si="10"/>
        <v>No WFH</v>
      </c>
      <c r="V113" s="19" t="str">
        <f t="shared" si="11"/>
        <v>Increment of $13,197 earned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f t="shared" si="6"/>
        <v>Retain</v>
      </c>
      <c r="R114" s="18" t="str">
        <f t="shared" si="7"/>
        <v>No bonus</v>
      </c>
      <c r="S114" s="15" t="str">
        <f t="shared" si="8"/>
        <v>High</v>
      </c>
      <c r="T114" s="15" t="str">
        <f t="shared" si="9"/>
        <v>No WFH</v>
      </c>
      <c r="U114" s="15" t="str">
        <f t="shared" si="10"/>
        <v>No WFH</v>
      </c>
      <c r="V114" s="19" t="e">
        <f t="shared" si="11"/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f t="shared" si="6"/>
        <v>Retain</v>
      </c>
      <c r="R115" s="18" t="str">
        <f t="shared" si="7"/>
        <v>Bonus of $5,393 earned</v>
      </c>
      <c r="S115" s="15" t="str">
        <f t="shared" si="8"/>
        <v>High</v>
      </c>
      <c r="T115" s="15" t="str">
        <f t="shared" si="9"/>
        <v>No WFH</v>
      </c>
      <c r="U115" s="15" t="str">
        <f t="shared" si="10"/>
        <v>No WFH</v>
      </c>
      <c r="V115" s="19" t="str">
        <f t="shared" si="11"/>
        <v>Increment of $16,180 earned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f t="shared" si="6"/>
        <v>Retain</v>
      </c>
      <c r="R116" s="18" t="str">
        <f t="shared" si="7"/>
        <v>No bonus</v>
      </c>
      <c r="S116" s="15" t="str">
        <f t="shared" si="8"/>
        <v>Low</v>
      </c>
      <c r="T116" s="15" t="str">
        <f t="shared" si="9"/>
        <v>No WFH</v>
      </c>
      <c r="U116" s="15" t="str">
        <f t="shared" si="10"/>
        <v>Work-From-Home flexibility</v>
      </c>
      <c r="V116" s="19" t="str">
        <f t="shared" si="11"/>
        <v>Increment of $3,713 earned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f t="shared" si="6"/>
        <v>Retain</v>
      </c>
      <c r="R117" s="18" t="str">
        <f t="shared" si="7"/>
        <v>No bonus</v>
      </c>
      <c r="S117" s="15" t="str">
        <f t="shared" si="8"/>
        <v>High</v>
      </c>
      <c r="T117" s="15" t="str">
        <f t="shared" si="9"/>
        <v>No WFH</v>
      </c>
      <c r="U117" s="15" t="str">
        <f t="shared" si="10"/>
        <v>No WFH</v>
      </c>
      <c r="V117" s="19" t="str">
        <f t="shared" si="11"/>
        <v>Not applicable for increment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f t="shared" si="6"/>
        <v>Retain</v>
      </c>
      <c r="R118" s="18" t="str">
        <f t="shared" si="7"/>
        <v>Bonus of $6,618 earned</v>
      </c>
      <c r="S118" s="15" t="str">
        <f t="shared" si="8"/>
        <v>High</v>
      </c>
      <c r="T118" s="15" t="str">
        <f t="shared" si="9"/>
        <v>No WFH</v>
      </c>
      <c r="U118" s="15" t="str">
        <f t="shared" si="10"/>
        <v>No WFH</v>
      </c>
      <c r="V118" s="19" t="str">
        <f t="shared" si="11"/>
        <v>Increment of $19,855 earned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f t="shared" si="6"/>
        <v>Terminate</v>
      </c>
      <c r="R119" s="18" t="str">
        <f t="shared" si="7"/>
        <v>No bonus</v>
      </c>
      <c r="S119" s="15" t="str">
        <f t="shared" si="8"/>
        <v>High</v>
      </c>
      <c r="T119" s="15" t="str">
        <f t="shared" si="9"/>
        <v>No WFH</v>
      </c>
      <c r="U119" s="15" t="str">
        <f t="shared" si="10"/>
        <v>Work-From-Home flexibility</v>
      </c>
      <c r="V119" s="19" t="str">
        <f t="shared" si="11"/>
        <v>Not applicable for increment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f t="shared" si="6"/>
        <v>Retain</v>
      </c>
      <c r="R120" s="18" t="str">
        <f t="shared" si="7"/>
        <v>No bonus</v>
      </c>
      <c r="S120" s="15" t="str">
        <f t="shared" si="8"/>
        <v>Mid</v>
      </c>
      <c r="T120" s="15" t="str">
        <f t="shared" si="9"/>
        <v>No WFH</v>
      </c>
      <c r="U120" s="15" t="str">
        <f t="shared" si="10"/>
        <v>No WFH</v>
      </c>
      <c r="V120" s="19" t="str">
        <f t="shared" si="11"/>
        <v>Increment of $5,869 earned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f t="shared" si="6"/>
        <v>Retain</v>
      </c>
      <c r="R121" s="18" t="str">
        <f t="shared" si="7"/>
        <v>No bonus</v>
      </c>
      <c r="S121" s="15" t="str">
        <f t="shared" si="8"/>
        <v>Low</v>
      </c>
      <c r="T121" s="15" t="str">
        <f t="shared" si="9"/>
        <v>No WFH</v>
      </c>
      <c r="U121" s="15" t="str">
        <f t="shared" si="10"/>
        <v>Work-From-Home flexibility</v>
      </c>
      <c r="V121" s="19" t="str">
        <f t="shared" si="11"/>
        <v>Not applicable for increment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f t="shared" si="6"/>
        <v>Retain</v>
      </c>
      <c r="R122" s="18" t="str">
        <f t="shared" si="7"/>
        <v>No bonus</v>
      </c>
      <c r="S122" s="15" t="str">
        <f t="shared" si="8"/>
        <v>High</v>
      </c>
      <c r="T122" s="15" t="str">
        <f t="shared" si="9"/>
        <v>No WFH</v>
      </c>
      <c r="U122" s="15" t="str">
        <f t="shared" si="10"/>
        <v>Work-From-Home flexibility</v>
      </c>
      <c r="V122" s="19" t="str">
        <f t="shared" si="11"/>
        <v>Not applicable for increment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f t="shared" si="6"/>
        <v>Terminate</v>
      </c>
      <c r="R123" s="18" t="str">
        <f t="shared" si="7"/>
        <v>No bonus</v>
      </c>
      <c r="S123" s="15" t="str">
        <f t="shared" si="8"/>
        <v>High</v>
      </c>
      <c r="T123" s="15" t="str">
        <f t="shared" si="9"/>
        <v>No WFH</v>
      </c>
      <c r="U123" s="15" t="str">
        <f t="shared" si="10"/>
        <v>No WFH</v>
      </c>
      <c r="V123" s="19" t="str">
        <f t="shared" si="11"/>
        <v>Not applicable for increment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f t="shared" si="6"/>
        <v>Retain</v>
      </c>
      <c r="R124" s="18" t="str">
        <f t="shared" si="7"/>
        <v>No bonus</v>
      </c>
      <c r="S124" s="15" t="str">
        <f t="shared" si="8"/>
        <v>High</v>
      </c>
      <c r="T124" s="15" t="str">
        <f t="shared" si="9"/>
        <v>No WFH</v>
      </c>
      <c r="U124" s="15" t="str">
        <f t="shared" si="10"/>
        <v>No WFH</v>
      </c>
      <c r="V124" s="19" t="str">
        <f t="shared" si="11"/>
        <v>Not applicable for increment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f t="shared" si="6"/>
        <v>Retain</v>
      </c>
      <c r="R125" s="18" t="str">
        <f t="shared" si="7"/>
        <v>No bonus</v>
      </c>
      <c r="S125" s="15" t="str">
        <f t="shared" si="8"/>
        <v>Low</v>
      </c>
      <c r="T125" s="15" t="str">
        <f t="shared" si="9"/>
        <v>No WFH</v>
      </c>
      <c r="U125" s="15" t="str">
        <f t="shared" si="10"/>
        <v>Work-From-Home flexibility</v>
      </c>
      <c r="V125" s="19" t="str">
        <f t="shared" si="11"/>
        <v>Increment of $2,237 earned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f t="shared" si="6"/>
        <v>Retain</v>
      </c>
      <c r="R126" s="18" t="str">
        <f t="shared" si="7"/>
        <v>No bonus</v>
      </c>
      <c r="S126" s="15" t="str">
        <f t="shared" si="8"/>
        <v>Mid</v>
      </c>
      <c r="T126" s="15" t="str">
        <f t="shared" si="9"/>
        <v>No WFH</v>
      </c>
      <c r="U126" s="15" t="str">
        <f t="shared" si="10"/>
        <v>No WFH</v>
      </c>
      <c r="V126" s="19" t="str">
        <f t="shared" si="11"/>
        <v>Increment of $5,551 earned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f t="shared" si="6"/>
        <v>Retain</v>
      </c>
      <c r="R127" s="18" t="str">
        <f t="shared" si="7"/>
        <v>No bonus</v>
      </c>
      <c r="S127" s="15" t="str">
        <f t="shared" si="8"/>
        <v>Mid</v>
      </c>
      <c r="T127" s="15" t="str">
        <f t="shared" si="9"/>
        <v>No WFH</v>
      </c>
      <c r="U127" s="15" t="str">
        <f t="shared" si="10"/>
        <v>No WFH</v>
      </c>
      <c r="V127" s="19" t="str">
        <f t="shared" si="11"/>
        <v>Not applicable for increment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f t="shared" si="6"/>
        <v>Retain</v>
      </c>
      <c r="R128" s="18" t="str">
        <f t="shared" si="7"/>
        <v>No bonus</v>
      </c>
      <c r="S128" s="15" t="str">
        <f t="shared" si="8"/>
        <v>High</v>
      </c>
      <c r="T128" s="15" t="str">
        <f t="shared" si="9"/>
        <v>No WFH</v>
      </c>
      <c r="U128" s="15" t="str">
        <f t="shared" si="10"/>
        <v>Work-From-Home flexibility</v>
      </c>
      <c r="V128" s="19" t="str">
        <f t="shared" si="11"/>
        <v>Increment of $8,102 earned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f t="shared" si="6"/>
        <v>Retain</v>
      </c>
      <c r="R129" s="18" t="str">
        <f t="shared" si="7"/>
        <v>No bonus</v>
      </c>
      <c r="S129" s="15" t="str">
        <f t="shared" si="8"/>
        <v>High</v>
      </c>
      <c r="T129" s="15" t="str">
        <f t="shared" si="9"/>
        <v>No WFH</v>
      </c>
      <c r="U129" s="15" t="str">
        <f t="shared" si="10"/>
        <v>No WFH</v>
      </c>
      <c r="V129" s="19" t="str">
        <f t="shared" si="11"/>
        <v>Not applicable for increment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f t="shared" si="6"/>
        <v>Retain</v>
      </c>
      <c r="R130" s="18" t="str">
        <f t="shared" si="7"/>
        <v>No bonus</v>
      </c>
      <c r="S130" s="15" t="str">
        <f t="shared" si="8"/>
        <v>Mid</v>
      </c>
      <c r="T130" s="15" t="str">
        <f t="shared" si="9"/>
        <v>Work-From-Home flexibility</v>
      </c>
      <c r="U130" s="15" t="str">
        <f t="shared" si="10"/>
        <v>Work-From-Home flexibility</v>
      </c>
      <c r="V130" s="19" t="str">
        <f t="shared" si="11"/>
        <v>Not applicable for increment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f t="shared" si="6"/>
        <v>Terminate</v>
      </c>
      <c r="R131" s="18" t="str">
        <f t="shared" si="7"/>
        <v>No bonus</v>
      </c>
      <c r="S131" s="15" t="str">
        <f t="shared" si="8"/>
        <v>High</v>
      </c>
      <c r="T131" s="15" t="str">
        <f t="shared" si="9"/>
        <v>No WFH</v>
      </c>
      <c r="U131" s="15" t="str">
        <f t="shared" si="10"/>
        <v>Work-From-Home flexibility</v>
      </c>
      <c r="V131" s="19" t="str">
        <f t="shared" si="11"/>
        <v>Not applicable for increment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f t="shared" si="6"/>
        <v>Retain</v>
      </c>
      <c r="R132" s="18" t="str">
        <f t="shared" si="7"/>
        <v>No bonus</v>
      </c>
      <c r="S132" s="15" t="str">
        <f t="shared" si="8"/>
        <v>Low</v>
      </c>
      <c r="T132" s="15" t="str">
        <f t="shared" si="9"/>
        <v>No WFH</v>
      </c>
      <c r="U132" s="15" t="str">
        <f t="shared" si="10"/>
        <v>No WFH</v>
      </c>
      <c r="V132" s="19" t="str">
        <f t="shared" si="11"/>
        <v>Not applicable for increment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f t="shared" ref="Q133:Q149" si="12">IF(N133="Very Poor","Terminate","Retain")</f>
        <v>Retain</v>
      </c>
      <c r="R133" s="18" t="str">
        <f t="shared" ref="R133:R149" si="13">IF(N133="Very Good","Bonus of " &amp; TEXT(P133*0.05,"$000,0") &amp; " earned","No bonus")</f>
        <v>No bonus</v>
      </c>
      <c r="S133" s="15" t="str">
        <f t="shared" ref="S133:S149" si="14">IF(P133&lt;40000,"Low",IF(AND(P133&gt;=40000,P133&lt;80000),"Mid","High"))</f>
        <v>Mid</v>
      </c>
      <c r="T133" s="15" t="str">
        <f t="shared" ref="T133:T149" si="15">IF(AND(L133="HR",I133="Mumbai"),"Work-From-Home flexibility","No WFH")</f>
        <v>No WFH</v>
      </c>
      <c r="U133" s="15" t="str">
        <f t="shared" ref="U133:U149" si="16">IF(OR(L133="HR",L133="Finance"),"Work-From-Home flexibility","No WFH")</f>
        <v>No WFH</v>
      </c>
      <c r="V133" s="19" t="str">
        <f t="shared" ref="V133:V149" si="17">IF(N133="Very Good","Increment of "&amp;TEXT(P133*15%,"$000,0")&amp;" earned",IF(N133="Good","Increment of "&amp;TEXT(P133*12%,"$000,0")&amp;" earned",IF(N133="Average","Increment of "&amp;TEXT(P133*10%,"$000,0")&amp;" earned", "Not applicable for increment")))</f>
        <v>Increment of $5,909 earned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f t="shared" si="12"/>
        <v>Retain</v>
      </c>
      <c r="R134" s="18" t="str">
        <f t="shared" si="13"/>
        <v>No bonus</v>
      </c>
      <c r="S134" s="15" t="str">
        <f t="shared" si="14"/>
        <v>Mid</v>
      </c>
      <c r="T134" s="15" t="str">
        <f t="shared" si="15"/>
        <v>No WFH</v>
      </c>
      <c r="U134" s="15" t="str">
        <f t="shared" si="16"/>
        <v>No WFH</v>
      </c>
      <c r="V134" s="19" t="str">
        <f t="shared" si="17"/>
        <v>Increment of $4,128 earned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f t="shared" si="12"/>
        <v>Retain</v>
      </c>
      <c r="R135" s="18" t="str">
        <f t="shared" si="13"/>
        <v>No bonus</v>
      </c>
      <c r="S135" s="15" t="str">
        <f t="shared" si="14"/>
        <v>Mid</v>
      </c>
      <c r="T135" s="15" t="str">
        <f t="shared" si="15"/>
        <v>No WFH</v>
      </c>
      <c r="U135" s="15" t="str">
        <f t="shared" si="16"/>
        <v>Work-From-Home flexibility</v>
      </c>
      <c r="V135" s="19" t="str">
        <f t="shared" si="17"/>
        <v>Increment of $4,757 earned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f t="shared" si="12"/>
        <v>Retain</v>
      </c>
      <c r="R136" s="18" t="str">
        <f t="shared" si="13"/>
        <v>Bonus of $2,767 earned</v>
      </c>
      <c r="S136" s="15" t="str">
        <f t="shared" si="14"/>
        <v>Mid</v>
      </c>
      <c r="T136" s="15" t="str">
        <f t="shared" si="15"/>
        <v>No WFH</v>
      </c>
      <c r="U136" s="15" t="str">
        <f t="shared" si="16"/>
        <v>Work-From-Home flexibility</v>
      </c>
      <c r="V136" s="19" t="str">
        <f t="shared" si="17"/>
        <v>Increment of $8,301 earned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f t="shared" si="12"/>
        <v>Retain</v>
      </c>
      <c r="R137" s="18" t="str">
        <f t="shared" si="13"/>
        <v>Bonus of $5,416 earned</v>
      </c>
      <c r="S137" s="15" t="str">
        <f t="shared" si="14"/>
        <v>High</v>
      </c>
      <c r="T137" s="15" t="str">
        <f t="shared" si="15"/>
        <v>No WFH</v>
      </c>
      <c r="U137" s="15" t="str">
        <f t="shared" si="16"/>
        <v>No WFH</v>
      </c>
      <c r="V137" s="19" t="str">
        <f t="shared" si="17"/>
        <v>Increment of $16,248 earned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f t="shared" si="12"/>
        <v>Retain</v>
      </c>
      <c r="R138" s="18" t="str">
        <f t="shared" si="13"/>
        <v>No bonus</v>
      </c>
      <c r="S138" s="15" t="str">
        <f t="shared" si="14"/>
        <v>High</v>
      </c>
      <c r="T138" s="15" t="str">
        <f t="shared" si="15"/>
        <v>No WFH</v>
      </c>
      <c r="U138" s="15" t="str">
        <f t="shared" si="16"/>
        <v>Work-From-Home flexibility</v>
      </c>
      <c r="V138" s="19" t="str">
        <f t="shared" si="17"/>
        <v>Increment of $16,771 earned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f t="shared" si="12"/>
        <v>Retain</v>
      </c>
      <c r="R139" s="18" t="str">
        <f t="shared" si="13"/>
        <v>No bonus</v>
      </c>
      <c r="S139" s="15" t="str">
        <f t="shared" si="14"/>
        <v>Low</v>
      </c>
      <c r="T139" s="15" t="str">
        <f t="shared" si="15"/>
        <v>No WFH</v>
      </c>
      <c r="U139" s="15" t="str">
        <f t="shared" si="16"/>
        <v>No WFH</v>
      </c>
      <c r="V139" s="19" t="str">
        <f t="shared" si="17"/>
        <v>Not applicable for increment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f t="shared" si="12"/>
        <v>Retain</v>
      </c>
      <c r="R140" s="18" t="str">
        <f t="shared" si="13"/>
        <v>No bonus</v>
      </c>
      <c r="S140" s="15" t="str">
        <f t="shared" si="14"/>
        <v>High</v>
      </c>
      <c r="T140" s="15" t="str">
        <f t="shared" si="15"/>
        <v>No WFH</v>
      </c>
      <c r="U140" s="15" t="str">
        <f t="shared" si="16"/>
        <v>No WFH</v>
      </c>
      <c r="V140" s="19" t="str">
        <f t="shared" si="17"/>
        <v>Not applicable for increment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f t="shared" si="12"/>
        <v>Retain</v>
      </c>
      <c r="R141" s="18" t="str">
        <f t="shared" si="13"/>
        <v>No bonus</v>
      </c>
      <c r="S141" s="15" t="str">
        <f t="shared" si="14"/>
        <v>High</v>
      </c>
      <c r="T141" s="15" t="str">
        <f t="shared" si="15"/>
        <v>No WFH</v>
      </c>
      <c r="U141" s="15" t="str">
        <f t="shared" si="16"/>
        <v>Work-From-Home flexibility</v>
      </c>
      <c r="V141" s="19" t="str">
        <f t="shared" si="17"/>
        <v>Increment of $14,072 earned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f t="shared" si="12"/>
        <v>Retain</v>
      </c>
      <c r="R142" s="18" t="str">
        <f t="shared" si="13"/>
        <v>No bonus</v>
      </c>
      <c r="S142" s="15" t="str">
        <f t="shared" si="14"/>
        <v>High</v>
      </c>
      <c r="T142" s="15" t="str">
        <f t="shared" si="15"/>
        <v>No WFH</v>
      </c>
      <c r="U142" s="15" t="str">
        <f t="shared" si="16"/>
        <v>No WFH</v>
      </c>
      <c r="V142" s="19" t="str">
        <f t="shared" si="17"/>
        <v>Not applicable for increment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f t="shared" si="12"/>
        <v>Terminate</v>
      </c>
      <c r="R143" s="18" t="str">
        <f t="shared" si="13"/>
        <v>No bonus</v>
      </c>
      <c r="S143" s="15" t="str">
        <f t="shared" si="14"/>
        <v>Mid</v>
      </c>
      <c r="T143" s="15" t="str">
        <f t="shared" si="15"/>
        <v>No WFH</v>
      </c>
      <c r="U143" s="15" t="str">
        <f t="shared" si="16"/>
        <v>No WFH</v>
      </c>
      <c r="V143" s="19" t="str">
        <f t="shared" si="17"/>
        <v>Not applicable for increment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f t="shared" si="12"/>
        <v>Retain</v>
      </c>
      <c r="R144" s="18" t="str">
        <f t="shared" si="13"/>
        <v>Bonus of $6,622 earned</v>
      </c>
      <c r="S144" s="15" t="str">
        <f t="shared" si="14"/>
        <v>High</v>
      </c>
      <c r="T144" s="15" t="str">
        <f t="shared" si="15"/>
        <v>No WFH</v>
      </c>
      <c r="U144" s="15" t="str">
        <f t="shared" si="16"/>
        <v>No WFH</v>
      </c>
      <c r="V144" s="19" t="str">
        <f t="shared" si="17"/>
        <v>Increment of $19,867 earned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f t="shared" si="12"/>
        <v>Retain</v>
      </c>
      <c r="R145" s="18" t="str">
        <f t="shared" si="13"/>
        <v>No bonus</v>
      </c>
      <c r="S145" s="15" t="str">
        <f t="shared" si="14"/>
        <v>High</v>
      </c>
      <c r="T145" s="15" t="str">
        <f t="shared" si="15"/>
        <v>No WFH</v>
      </c>
      <c r="U145" s="15" t="str">
        <f t="shared" si="16"/>
        <v>No WFH</v>
      </c>
      <c r="V145" s="19" t="str">
        <f t="shared" si="17"/>
        <v>Not applicable for increment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f t="shared" si="12"/>
        <v>Retain</v>
      </c>
      <c r="R146" s="18" t="str">
        <f t="shared" si="13"/>
        <v>No bonus</v>
      </c>
      <c r="S146" s="15" t="str">
        <f t="shared" si="14"/>
        <v>Mid</v>
      </c>
      <c r="T146" s="15" t="str">
        <f t="shared" si="15"/>
        <v>No WFH</v>
      </c>
      <c r="U146" s="15" t="str">
        <f t="shared" si="16"/>
        <v>Work-From-Home flexibility</v>
      </c>
      <c r="V146" s="19" t="str">
        <f t="shared" si="17"/>
        <v>Not applicable for increment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f t="shared" si="12"/>
        <v>Retain</v>
      </c>
      <c r="R147" s="18" t="str">
        <f t="shared" si="13"/>
        <v>No bonus</v>
      </c>
      <c r="S147" s="15" t="str">
        <f t="shared" si="14"/>
        <v>Low</v>
      </c>
      <c r="T147" s="15" t="str">
        <f t="shared" si="15"/>
        <v>No WFH</v>
      </c>
      <c r="U147" s="15" t="str">
        <f t="shared" si="16"/>
        <v>No WFH</v>
      </c>
      <c r="V147" s="19" t="str">
        <f t="shared" si="17"/>
        <v>Not applicable for increment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f t="shared" si="12"/>
        <v>Retain</v>
      </c>
      <c r="R148" s="18" t="str">
        <f t="shared" si="13"/>
        <v>No bonus</v>
      </c>
      <c r="S148" s="15" t="str">
        <f t="shared" si="14"/>
        <v>High</v>
      </c>
      <c r="T148" s="15" t="str">
        <f t="shared" si="15"/>
        <v>No WFH</v>
      </c>
      <c r="U148" s="15" t="str">
        <f t="shared" si="16"/>
        <v>Work-From-Home flexibility</v>
      </c>
      <c r="V148" s="19" t="str">
        <f t="shared" si="17"/>
        <v>Increment of $11,186 earned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f t="shared" si="12"/>
        <v>Retain</v>
      </c>
      <c r="R149" s="18" t="str">
        <f t="shared" si="13"/>
        <v>No bonus</v>
      </c>
      <c r="S149" s="15" t="str">
        <f t="shared" si="14"/>
        <v>High</v>
      </c>
      <c r="T149" s="15" t="str">
        <f t="shared" si="15"/>
        <v>Work-From-Home flexibility</v>
      </c>
      <c r="U149" s="15" t="str">
        <f t="shared" si="16"/>
        <v>Work-From-Home flexibility</v>
      </c>
      <c r="V149" s="19" t="str">
        <f t="shared" si="17"/>
        <v>Not applicable for increment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autoFilter ref="A3:V149" xr:uid="{00000000-0001-0000-0100-000000000000}"/>
  <mergeCells count="1">
    <mergeCell ref="A1:P1"/>
  </mergeCells>
  <conditionalFormatting sqref="Q4:Q149">
    <cfRule type="containsText" dxfId="0" priority="1" operator="containsText" text="Terminate">
      <formula>NOT(ISERROR(SEARCH("Terminate",Q4)))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Ambika goel</cp:lastModifiedBy>
  <dcterms:created xsi:type="dcterms:W3CDTF">2021-07-08T13:51:18Z</dcterms:created>
  <dcterms:modified xsi:type="dcterms:W3CDTF">2025-12-12T15:36:36Z</dcterms:modified>
</cp:coreProperties>
</file>